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hartercom-my.sharepoint.com/personal/mark_bliesmer_spectrum_com/Documents/Documents/Product/Product Stuff/2026 Summer Intern/"/>
    </mc:Choice>
  </mc:AlternateContent>
  <xr:revisionPtr revIDLastSave="173" documentId="11_4B5B6D47FFB25A27B734838D56D41EAA7003014A" xr6:coauthVersionLast="47" xr6:coauthVersionMax="47" xr10:uidLastSave="{27AD79F0-87A7-4206-A207-F08856EAD525}"/>
  <bookViews>
    <workbookView xWindow="-28920" yWindow="-120" windowWidth="29040" windowHeight="15720" xr2:uid="{00000000-000D-0000-FFFF-FFFF00000000}"/>
  </bookViews>
  <sheets>
    <sheet name="Instructions" sheetId="5" r:id="rId1"/>
    <sheet name="Roster" sheetId="1" r:id="rId2"/>
    <sheet name="Project List" sheetId="2" r:id="rId3"/>
    <sheet name="Employee Time Allocation" sheetId="3" r:id="rId4"/>
    <sheet name="AWS Model"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3" l="1"/>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2" i="3"/>
  <c r="P32" i="4"/>
  <c r="P33" i="4"/>
  <c r="P34" i="4"/>
  <c r="P35" i="4"/>
  <c r="P36" i="4"/>
  <c r="P37" i="4"/>
  <c r="P38" i="4"/>
  <c r="P39" i="4"/>
  <c r="P40" i="4"/>
  <c r="P41" i="4"/>
  <c r="P42" i="4"/>
  <c r="P43" i="4"/>
  <c r="P44" i="4"/>
  <c r="P45" i="4"/>
  <c r="P4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2" i="4"/>
</calcChain>
</file>

<file path=xl/sharedStrings.xml><?xml version="1.0" encoding="utf-8"?>
<sst xmlns="http://schemas.openxmlformats.org/spreadsheetml/2006/main" count="1009" uniqueCount="265">
  <si>
    <t>Employee ID</t>
  </si>
  <si>
    <t>Employee Name</t>
  </si>
  <si>
    <t>Title</t>
  </si>
  <si>
    <t>Type</t>
  </si>
  <si>
    <t>Hourly Rate</t>
  </si>
  <si>
    <t>Company</t>
  </si>
  <si>
    <t>Location</t>
  </si>
  <si>
    <t>Supervisor 2</t>
  </si>
  <si>
    <t>Supervisor 3</t>
  </si>
  <si>
    <t>Supervisor 4</t>
  </si>
  <si>
    <t>EMP0001</t>
  </si>
  <si>
    <t>Marcus Chen</t>
  </si>
  <si>
    <t>Dir, Engineering</t>
  </si>
  <si>
    <t>FTE</t>
  </si>
  <si>
    <t>Spectrum</t>
  </si>
  <si>
    <t>Colorado</t>
  </si>
  <si>
    <t>EVP 1</t>
  </si>
  <si>
    <t>SVP 1</t>
  </si>
  <si>
    <t>SUP 1</t>
  </si>
  <si>
    <t>EMP0002</t>
  </si>
  <si>
    <t>Sarah Whitfield</t>
  </si>
  <si>
    <t>Principal Engineer I</t>
  </si>
  <si>
    <t>SVP 2</t>
  </si>
  <si>
    <t>SUP 3</t>
  </si>
  <si>
    <t>EMP0003</t>
  </si>
  <si>
    <t>David Okonkwo</t>
  </si>
  <si>
    <t>Sr Mgr, IT</t>
  </si>
  <si>
    <t>SUP 2</t>
  </si>
  <si>
    <t>EMP0004</t>
  </si>
  <si>
    <t>Rachel Zimmerman</t>
  </si>
  <si>
    <t>Missouri</t>
  </si>
  <si>
    <t>SUP 4</t>
  </si>
  <si>
    <t>EMP0005</t>
  </si>
  <si>
    <t>Tyler Nakamura</t>
  </si>
  <si>
    <t>ISP Engineer II</t>
  </si>
  <si>
    <t>EVP 2</t>
  </si>
  <si>
    <t>SVP 3</t>
  </si>
  <si>
    <t>SUP 5</t>
  </si>
  <si>
    <t>EMP0006</t>
  </si>
  <si>
    <t>Jessica Pearson</t>
  </si>
  <si>
    <t>Principal Engineer II</t>
  </si>
  <si>
    <t>North Carolina</t>
  </si>
  <si>
    <t>EMP0007</t>
  </si>
  <si>
    <t>Brandon Reeves</t>
  </si>
  <si>
    <t>Systems Engineer III</t>
  </si>
  <si>
    <t>SVP 4</t>
  </si>
  <si>
    <t>SUP 6</t>
  </si>
  <si>
    <t>EMP0008</t>
  </si>
  <si>
    <t>Olivia Fontaine</t>
  </si>
  <si>
    <t>Contractor</t>
  </si>
  <si>
    <t>Vendor 1</t>
  </si>
  <si>
    <t>India</t>
  </si>
  <si>
    <t>EMP0009</t>
  </si>
  <si>
    <t>Carlos Medina</t>
  </si>
  <si>
    <t>Systems Engineer I</t>
  </si>
  <si>
    <t>SVP 5</t>
  </si>
  <si>
    <t>SUP 7</t>
  </si>
  <si>
    <t>EMP0010</t>
  </si>
  <si>
    <t>Heather Langston</t>
  </si>
  <si>
    <t>Network Engineer I</t>
  </si>
  <si>
    <t>Vendor 2</t>
  </si>
  <si>
    <t>EMP0011</t>
  </si>
  <si>
    <t>Andre Williams</t>
  </si>
  <si>
    <t>Network Engineer IV</t>
  </si>
  <si>
    <t>EMP0012</t>
  </si>
  <si>
    <t>Megan Kowalski</t>
  </si>
  <si>
    <t>Principal Engineer III</t>
  </si>
  <si>
    <t>Vendor 3</t>
  </si>
  <si>
    <t>EMP0013</t>
  </si>
  <si>
    <t>Derek Sullivan</t>
  </si>
  <si>
    <t>Principal Engineer IV</t>
  </si>
  <si>
    <t>Vendor 4</t>
  </si>
  <si>
    <t>EMP0014</t>
  </si>
  <si>
    <t>Priya Sharma</t>
  </si>
  <si>
    <t>EMP0015</t>
  </si>
  <si>
    <t>Nathan Cross</t>
  </si>
  <si>
    <t>Business Analyst</t>
  </si>
  <si>
    <t>EMP0016</t>
  </si>
  <si>
    <t>Vanessa Duarte</t>
  </si>
  <si>
    <t>Texas</t>
  </si>
  <si>
    <t>EMP0017</t>
  </si>
  <si>
    <t>Kyle Brighton</t>
  </si>
  <si>
    <t>EMP0018</t>
  </si>
  <si>
    <t>Samantha Novak</t>
  </si>
  <si>
    <t>EMP0019</t>
  </si>
  <si>
    <t>Ryan Fitzgerald</t>
  </si>
  <si>
    <t>Sr System Administrator</t>
  </si>
  <si>
    <t>Connecticut</t>
  </si>
  <si>
    <t>EMP0020</t>
  </si>
  <si>
    <t>Tanya Osei</t>
  </si>
  <si>
    <t>EMP0021</t>
  </si>
  <si>
    <t>Chris Halverson</t>
  </si>
  <si>
    <t>EMP0022</t>
  </si>
  <si>
    <t>Danielle Tremblay</t>
  </si>
  <si>
    <t>Sr Mgr, Cost Analysis</t>
  </si>
  <si>
    <t>SUP 8</t>
  </si>
  <si>
    <t>EMP0023</t>
  </si>
  <si>
    <t>Liam Patel</t>
  </si>
  <si>
    <t>EMP0024</t>
  </si>
  <si>
    <t>Aisha Rodgers</t>
  </si>
  <si>
    <t>Principal Architect II</t>
  </si>
  <si>
    <t>Ohio</t>
  </si>
  <si>
    <t>EMP0025</t>
  </si>
  <si>
    <t>Jason Mercer</t>
  </si>
  <si>
    <t>Florida</t>
  </si>
  <si>
    <t>EMP0026</t>
  </si>
  <si>
    <t>Rebecca Stanton</t>
  </si>
  <si>
    <t>EMP0027</t>
  </si>
  <si>
    <t>Vincent Tao</t>
  </si>
  <si>
    <t>Systems Engineer IV</t>
  </si>
  <si>
    <t>EMP0028</t>
  </si>
  <si>
    <t>Laura Krishnan</t>
  </si>
  <si>
    <t>Network Engineer II</t>
  </si>
  <si>
    <t>EMP0029</t>
  </si>
  <si>
    <t>Paul Engstrom</t>
  </si>
  <si>
    <t>EMP0030</t>
  </si>
  <si>
    <t>Monica Alvarez</t>
  </si>
  <si>
    <t>Project Number</t>
  </si>
  <si>
    <t>Project Name</t>
  </si>
  <si>
    <t>Investment Category</t>
  </si>
  <si>
    <t>Accounting Classification</t>
  </si>
  <si>
    <t>Funding Business Unit</t>
  </si>
  <si>
    <t>Asset Type</t>
  </si>
  <si>
    <t>P00001</t>
  </si>
  <si>
    <t>Billing Refunds</t>
  </si>
  <si>
    <t>Customer Commitment</t>
  </si>
  <si>
    <t>Capital Expense</t>
  </si>
  <si>
    <t>Customer Operations</t>
  </si>
  <si>
    <t>Resources</t>
  </si>
  <si>
    <t>P00002</t>
  </si>
  <si>
    <t>Reliability</t>
  </si>
  <si>
    <t>Technology</t>
  </si>
  <si>
    <t>P00003</t>
  </si>
  <si>
    <t>New Mobile Features</t>
  </si>
  <si>
    <t>Mobile Roadmap</t>
  </si>
  <si>
    <t>Product</t>
  </si>
  <si>
    <t>P00004</t>
  </si>
  <si>
    <t>Buyflow Enhancements</t>
  </si>
  <si>
    <t>Buyflow</t>
  </si>
  <si>
    <t>Sales &amp; Marketing</t>
  </si>
  <si>
    <t>P00005</t>
  </si>
  <si>
    <t>Spectrum News Application Features</t>
  </si>
  <si>
    <t>News &amp; Sports</t>
  </si>
  <si>
    <t>Spectrum Networks</t>
  </si>
  <si>
    <t>P00006</t>
  </si>
  <si>
    <t>AI Chatbot Integration</t>
  </si>
  <si>
    <t>IVR Enhancements</t>
  </si>
  <si>
    <t>P00007</t>
  </si>
  <si>
    <t>AI Chatbot Implementation</t>
  </si>
  <si>
    <t>P00008</t>
  </si>
  <si>
    <t>Customer Billing Features</t>
  </si>
  <si>
    <t>Self-Service - Platform</t>
  </si>
  <si>
    <t>P00009</t>
  </si>
  <si>
    <t>3rd Party Application Integration</t>
  </si>
  <si>
    <t>Seamless Entertainment</t>
  </si>
  <si>
    <t>P00010</t>
  </si>
  <si>
    <t>WiFi Connectivity Experiences</t>
  </si>
  <si>
    <t>P00011</t>
  </si>
  <si>
    <t>Sports Net - New Application Build</t>
  </si>
  <si>
    <t>P00012</t>
  </si>
  <si>
    <t>Customer Two Factor Authorization</t>
  </si>
  <si>
    <t>Security</t>
  </si>
  <si>
    <t>P00013</t>
  </si>
  <si>
    <t>Customer Journey Integration</t>
  </si>
  <si>
    <t>Agent Tools</t>
  </si>
  <si>
    <t>P00014</t>
  </si>
  <si>
    <t>CPE Enhancements &amp; Testing</t>
  </si>
  <si>
    <t>Network Upgrades</t>
  </si>
  <si>
    <t>P00015</t>
  </si>
  <si>
    <t>Paid Time Off</t>
  </si>
  <si>
    <t>General Operating Expense</t>
  </si>
  <si>
    <t>Operating Expense</t>
  </si>
  <si>
    <t>P00016</t>
  </si>
  <si>
    <t>App/System Maintenance</t>
  </si>
  <si>
    <t>Platform Maintenance</t>
  </si>
  <si>
    <t>P00017</t>
  </si>
  <si>
    <t>Meetings</t>
  </si>
  <si>
    <t>P00018</t>
  </si>
  <si>
    <t>Support</t>
  </si>
  <si>
    <t>P00019</t>
  </si>
  <si>
    <t>Bug &amp; Defect Fixes</t>
  </si>
  <si>
    <t>P00020</t>
  </si>
  <si>
    <t>Other</t>
  </si>
  <si>
    <t>Jan</t>
  </si>
  <si>
    <t>Feb</t>
  </si>
  <si>
    <t>Mar</t>
  </si>
  <si>
    <t>Apr</t>
  </si>
  <si>
    <t>May</t>
  </si>
  <si>
    <t>Jun</t>
  </si>
  <si>
    <t>Jul</t>
  </si>
  <si>
    <t>Aug</t>
  </si>
  <si>
    <t>Sep</t>
  </si>
  <si>
    <t>Oct</t>
  </si>
  <si>
    <t>Nov</t>
  </si>
  <si>
    <t>Dec</t>
  </si>
  <si>
    <t>Full Year</t>
  </si>
  <si>
    <t>Account Number</t>
  </si>
  <si>
    <t>AWS00001</t>
  </si>
  <si>
    <t>AWS00002</t>
  </si>
  <si>
    <t>AWS00003</t>
  </si>
  <si>
    <t>AWS00004</t>
  </si>
  <si>
    <t>AWS00005</t>
  </si>
  <si>
    <t>AWS00006</t>
  </si>
  <si>
    <t>AWS00007</t>
  </si>
  <si>
    <t>AWS00008</t>
  </si>
  <si>
    <t>AWS00009</t>
  </si>
  <si>
    <t>AWS00010</t>
  </si>
  <si>
    <t>AWS00011</t>
  </si>
  <si>
    <t>AWS00012</t>
  </si>
  <si>
    <t>AWS00013</t>
  </si>
  <si>
    <t>AWS00014</t>
  </si>
  <si>
    <t>AWS00015</t>
  </si>
  <si>
    <t>AWS00016</t>
  </si>
  <si>
    <t>AWS00017</t>
  </si>
  <si>
    <t>AWS00018</t>
  </si>
  <si>
    <t>AWS00019</t>
  </si>
  <si>
    <t>AWS00020</t>
  </si>
  <si>
    <t>AWS00021</t>
  </si>
  <si>
    <t>AWS00022</t>
  </si>
  <si>
    <t>AWS00023</t>
  </si>
  <si>
    <t>AWS00024</t>
  </si>
  <si>
    <t>AWS00025</t>
  </si>
  <si>
    <t>AWS00026</t>
  </si>
  <si>
    <t>AWS00027</t>
  </si>
  <si>
    <t>AWS00028</t>
  </si>
  <si>
    <t>AWS00029</t>
  </si>
  <si>
    <t>AWS00030</t>
  </si>
  <si>
    <t>AWS00031</t>
  </si>
  <si>
    <t>AWS00032</t>
  </si>
  <si>
    <t>AWS00033</t>
  </si>
  <si>
    <t>AWS00034</t>
  </si>
  <si>
    <t>AWS00035</t>
  </si>
  <si>
    <t>AWS00036</t>
  </si>
  <si>
    <t>AWS00037</t>
  </si>
  <si>
    <t>AWS00038</t>
  </si>
  <si>
    <t>AWS00039</t>
  </si>
  <si>
    <t>AWS00040</t>
  </si>
  <si>
    <t>AWS00041</t>
  </si>
  <si>
    <t>AWS00042</t>
  </si>
  <si>
    <t>AWS00043</t>
  </si>
  <si>
    <t>AWS00044</t>
  </si>
  <si>
    <t>AWS00045</t>
  </si>
  <si>
    <t>Automated Planning Process</t>
  </si>
  <si>
    <t>2026 Summer Internship Use Case</t>
  </si>
  <si>
    <t>Assumptions:</t>
  </si>
  <si>
    <t>Overview:</t>
  </si>
  <si>
    <t>Data Files &amp; Process:</t>
  </si>
  <si>
    <t>Build an automated planning application/tool that can be utilized across the company</t>
  </si>
  <si>
    <r>
      <rPr>
        <b/>
        <sz val="11"/>
        <color theme="1"/>
        <rFont val="Calibri"/>
        <family val="2"/>
        <scheme val="minor"/>
      </rPr>
      <t>Employee Time Allocation:</t>
    </r>
    <r>
      <rPr>
        <sz val="11"/>
        <color theme="1"/>
        <rFont val="Calibri"/>
        <family val="2"/>
        <scheme val="minor"/>
      </rPr>
      <t xml:space="preserve"> Across the company, we have a few time tracking systems; utilize this view to create a forecast by employee and project. This tab gives information to identify the employee, which project they're working on and the amount of hours per month on each project.</t>
    </r>
  </si>
  <si>
    <r>
      <rPr>
        <b/>
        <sz val="11"/>
        <color theme="1"/>
        <rFont val="Calibri"/>
        <family val="2"/>
        <scheme val="minor"/>
      </rPr>
      <t>AWS Model:</t>
    </r>
    <r>
      <rPr>
        <sz val="11"/>
        <color theme="1"/>
        <rFont val="Calibri"/>
        <family val="2"/>
        <scheme val="minor"/>
      </rPr>
      <t xml:space="preserve"> Sample and simplified AWS account structure. This tab details the AWS account number and the owner of the account. Utilize advanced analytics/trend analysis to fill in the remaining months.</t>
    </r>
  </si>
  <si>
    <t xml:space="preserve"> - Resource budgeting will require the use of the following tabs; Roster, Project List &amp; Employee Time Allocation. Utilize all 3 to build a cost calculation model by month to project costs for multiple layers (i.e. Accounting Classification, Project, Employee Type, Leader, Funding Business Unit, etc.).</t>
  </si>
  <si>
    <t xml:space="preserve"> - AWS hosting fees are not currently mapped to a project; build a model that will utilize advanced analytics/trend analysis to calculate estimated costs by month for each AWS sample account.</t>
  </si>
  <si>
    <t xml:space="preserve"> - Focus on the process, data connections and reporting output of the tool.</t>
  </si>
  <si>
    <t xml:space="preserve">- Put yourself in the shoes of each leader of this organization and feel free to make up assumptions outside of those listed below. In a real year, resources will move around to different projects or we'll surge work on a few projects for several months and then get back to run rate work. Be creative and make the model easy to use and report on. See if AI can help explain the numbers or tell the story of the organization. </t>
  </si>
  <si>
    <r>
      <rPr>
        <b/>
        <sz val="11"/>
        <color theme="1"/>
        <rFont val="Calibri"/>
        <family val="2"/>
        <scheme val="minor"/>
      </rPr>
      <t>Roster:</t>
    </r>
    <r>
      <rPr>
        <sz val="11"/>
        <color theme="1"/>
        <rFont val="Calibri"/>
        <family val="2"/>
        <scheme val="minor"/>
      </rPr>
      <t xml:space="preserve"> Sample data with organizational hierarchy similar to how teams are structured across Spectrum. This tab gives information on employee ID, employee name, their location, pay rates and other relevant Human Resource information.</t>
    </r>
  </si>
  <si>
    <r>
      <rPr>
        <b/>
        <sz val="11"/>
        <color theme="1"/>
        <rFont val="Calibri"/>
        <family val="2"/>
        <scheme val="minor"/>
      </rPr>
      <t>Project List:</t>
    </r>
    <r>
      <rPr>
        <sz val="11"/>
        <color theme="1"/>
        <rFont val="Calibri"/>
        <family val="2"/>
        <scheme val="minor"/>
      </rPr>
      <t xml:space="preserve"> Whether you're supporting Customer Operations, Field Operations or Technology, budgets are built around projects. This tab gives project numbers, project names, accounting classification and funding business unit. Utilize this tab as a reference to forecast future month's costs on the 'Employee Time Allocation' tab.</t>
    </r>
  </si>
  <si>
    <t xml:space="preserve"> - Utilize this dataset which mimics Spectrum data to build a planning application/tool to forecast for two large areas within this sample Spectrum business unit:
1. Resource project and cost forecasting
2. AWS hosting cost forecasting</t>
  </si>
  <si>
    <t>- All data and costs have been populated through March. Use model, assumptions and tool to project costs for April through December and come up with a full year budget/forecast.</t>
  </si>
  <si>
    <t>- All resources will have 160 hours in total per month.</t>
  </si>
  <si>
    <t>- FTE resources will take a maximum of 160 hours of 'Paid Time Off' during the year; they will not have more allocated to them.</t>
  </si>
  <si>
    <t>- Contractor resources will take a maximum of 120 hours of 'Paid Time Off' during the year; they will not have more allocated to them.</t>
  </si>
  <si>
    <t>- Roster will not fluctuate throughout the year (no hires and no attrition).</t>
  </si>
  <si>
    <t>- Projects 10 and 14 will end at the end of August; any resources working on those projects can be reallocated to other existing projects they are working on or to general opex.</t>
  </si>
  <si>
    <t>- Total AWS spend for this business unit shall not exceed $2.1m for the year.</t>
  </si>
  <si>
    <t>- AWS accounts ending in 8, 11 and 27 will grow 5% month over month from March; all remaining AWS accounts can be allocated costs based on their YTD weighted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</si>
</sst>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Calibri"/>
      <family val="2"/>
      <scheme val="minor"/>
    </font>
    <font>
      <b/>
      <sz val="11"/>
      <name val="Calibri"/>
    </font>
    <font>
      <sz val="8"/>
      <name val="Calibri"/>
      <family val="2"/>
      <scheme val="minor"/>
    </font>
    <font>
      <b/>
      <sz val="11"/>
      <color theme="1"/>
      <name val="Calibri"/>
      <family val="2"/>
      <scheme val="minor"/>
    </font>
    <font>
      <b/>
      <u/>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0" fillId="0" borderId="0" xfId="0" applyNumberFormat="1"/>
    <xf numFmtId="0" fontId="0" fillId="0" borderId="0" xfId="0" quotePrefix="1"/>
    <xf numFmtId="0" fontId="3" fillId="0" borderId="0" xfId="0" applyFont="1"/>
    <xf numFmtId="0" fontId="4" fillId="0" borderId="0" xfId="0" applyFont="1"/>
    <xf numFmtId="0" fontId="0" fillId="0" borderId="0" xfId="0" quotePrefix="1" applyFont="1" applyAlignment="1">
      <alignment wrapText="1"/>
    </xf>
    <xf numFmtId="0" fontId="5" fillId="0" borderId="0" xfId="0" applyFont="1"/>
    <xf numFmtId="0" fontId="0" fillId="0" borderId="0" xfId="0" quotePrefix="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54B2-18FA-4B2A-83CA-82A0B08AEB7B}">
  <dimension ref="A1:A26"/>
  <sheetViews>
    <sheetView tabSelected="1" workbookViewId="0">
      <selection activeCell="A27" sqref="A27"/>
    </sheetView>
  </sheetViews>
  <sheetFormatPr defaultRowHeight="15" x14ac:dyDescent="0.25"/>
  <cols>
    <col min="1" max="1" width="118" customWidth="1"/>
  </cols>
  <sheetData>
    <row r="1" spans="1:1" ht="18.75" x14ac:dyDescent="0.3">
      <c r="A1" s="7" t="s">
        <v>242</v>
      </c>
    </row>
    <row r="2" spans="1:1" x14ac:dyDescent="0.25">
      <c r="A2" t="s">
        <v>243</v>
      </c>
    </row>
    <row r="4" spans="1:1" x14ac:dyDescent="0.25">
      <c r="A4" s="5" t="s">
        <v>245</v>
      </c>
    </row>
    <row r="5" spans="1:1" x14ac:dyDescent="0.25">
      <c r="A5" s="4" t="s">
        <v>247</v>
      </c>
    </row>
    <row r="6" spans="1:1" ht="60" x14ac:dyDescent="0.25">
      <c r="A6" s="6" t="s">
        <v>256</v>
      </c>
    </row>
    <row r="7" spans="1:1" ht="45" x14ac:dyDescent="0.25">
      <c r="A7" s="6" t="s">
        <v>250</v>
      </c>
    </row>
    <row r="8" spans="1:1" ht="30" x14ac:dyDescent="0.25">
      <c r="A8" s="6" t="s">
        <v>251</v>
      </c>
    </row>
    <row r="9" spans="1:1" x14ac:dyDescent="0.25">
      <c r="A9" s="6" t="s">
        <v>252</v>
      </c>
    </row>
    <row r="10" spans="1:1" ht="60" x14ac:dyDescent="0.25">
      <c r="A10" s="8" t="s">
        <v>253</v>
      </c>
    </row>
    <row r="12" spans="1:1" x14ac:dyDescent="0.25">
      <c r="A12" s="5" t="s">
        <v>246</v>
      </c>
    </row>
    <row r="13" spans="1:1" ht="30" x14ac:dyDescent="0.25">
      <c r="A13" s="8" t="s">
        <v>254</v>
      </c>
    </row>
    <row r="14" spans="1:1" ht="45" x14ac:dyDescent="0.25">
      <c r="A14" s="8" t="s">
        <v>255</v>
      </c>
    </row>
    <row r="15" spans="1:1" ht="45" x14ac:dyDescent="0.25">
      <c r="A15" s="8" t="s">
        <v>248</v>
      </c>
    </row>
    <row r="16" spans="1:1" ht="30" x14ac:dyDescent="0.25">
      <c r="A16" s="8" t="s">
        <v>249</v>
      </c>
    </row>
    <row r="18" spans="1:1" x14ac:dyDescent="0.25">
      <c r="A18" s="5" t="s">
        <v>244</v>
      </c>
    </row>
    <row r="19" spans="1:1" ht="30" x14ac:dyDescent="0.25">
      <c r="A19" s="8" t="s">
        <v>257</v>
      </c>
    </row>
    <row r="20" spans="1:1" x14ac:dyDescent="0.25">
      <c r="A20" s="3" t="s">
        <v>258</v>
      </c>
    </row>
    <row r="21" spans="1:1" x14ac:dyDescent="0.25">
      <c r="A21" s="3" t="s">
        <v>259</v>
      </c>
    </row>
    <row r="22" spans="1:1" x14ac:dyDescent="0.25">
      <c r="A22" s="3" t="s">
        <v>260</v>
      </c>
    </row>
    <row r="23" spans="1:1" x14ac:dyDescent="0.25">
      <c r="A23" s="3" t="s">
        <v>261</v>
      </c>
    </row>
    <row r="24" spans="1:1" ht="30" x14ac:dyDescent="0.25">
      <c r="A24" s="8" t="s">
        <v>262</v>
      </c>
    </row>
    <row r="25" spans="1:1" x14ac:dyDescent="0.25">
      <c r="A25" s="3" t="s">
        <v>263</v>
      </c>
    </row>
    <row r="26" spans="1:1" ht="30" x14ac:dyDescent="0.25">
      <c r="A26" s="8"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workbookViewId="0">
      <selection activeCell="L1" sqref="L1:N1048576"/>
    </sheetView>
  </sheetViews>
  <sheetFormatPr defaultRowHeight="15" x14ac:dyDescent="0.25"/>
  <cols>
    <col min="1" max="1" width="13" customWidth="1"/>
    <col min="2" max="2" width="19" customWidth="1"/>
    <col min="3" max="3" width="25" customWidth="1"/>
    <col min="4" max="4" width="12" customWidth="1"/>
    <col min="5" max="5" width="13" customWidth="1"/>
    <col min="6" max="6" width="10" customWidth="1"/>
    <col min="7" max="7" width="16" customWidth="1"/>
    <col min="8" max="10" width="14" customWidth="1"/>
  </cols>
  <sheetData>
    <row r="1" spans="1:14" x14ac:dyDescent="0.25">
      <c r="A1" s="1" t="s">
        <v>0</v>
      </c>
      <c r="B1" s="1" t="s">
        <v>1</v>
      </c>
      <c r="C1" s="1" t="s">
        <v>2</v>
      </c>
      <c r="D1" s="1" t="s">
        <v>3</v>
      </c>
      <c r="E1" s="1" t="s">
        <v>4</v>
      </c>
      <c r="F1" s="1" t="s">
        <v>5</v>
      </c>
      <c r="G1" s="1" t="s">
        <v>6</v>
      </c>
      <c r="H1" s="1" t="s">
        <v>7</v>
      </c>
      <c r="I1" s="1" t="s">
        <v>8</v>
      </c>
      <c r="J1" s="1" t="s">
        <v>9</v>
      </c>
      <c r="L1" s="1"/>
      <c r="M1" s="1"/>
      <c r="N1" s="1"/>
    </row>
    <row r="2" spans="1:14" x14ac:dyDescent="0.25">
      <c r="A2" t="s">
        <v>10</v>
      </c>
      <c r="B2" t="s">
        <v>11</v>
      </c>
      <c r="C2" t="s">
        <v>12</v>
      </c>
      <c r="D2" t="s">
        <v>13</v>
      </c>
      <c r="E2" s="2">
        <v>120</v>
      </c>
      <c r="F2" t="s">
        <v>14</v>
      </c>
      <c r="G2" t="s">
        <v>15</v>
      </c>
      <c r="H2" t="s">
        <v>16</v>
      </c>
      <c r="I2" t="s">
        <v>17</v>
      </c>
      <c r="J2" t="s">
        <v>18</v>
      </c>
    </row>
    <row r="3" spans="1:14" x14ac:dyDescent="0.25">
      <c r="A3" t="s">
        <v>19</v>
      </c>
      <c r="B3" t="s">
        <v>20</v>
      </c>
      <c r="C3" t="s">
        <v>21</v>
      </c>
      <c r="D3" t="s">
        <v>13</v>
      </c>
      <c r="E3" s="2">
        <v>100</v>
      </c>
      <c r="F3" t="s">
        <v>14</v>
      </c>
      <c r="G3" t="s">
        <v>15</v>
      </c>
      <c r="H3" t="s">
        <v>16</v>
      </c>
      <c r="I3" t="s">
        <v>22</v>
      </c>
      <c r="J3" t="s">
        <v>23</v>
      </c>
    </row>
    <row r="4" spans="1:14" x14ac:dyDescent="0.25">
      <c r="A4" t="s">
        <v>24</v>
      </c>
      <c r="B4" t="s">
        <v>25</v>
      </c>
      <c r="C4" t="s">
        <v>26</v>
      </c>
      <c r="D4" t="s">
        <v>13</v>
      </c>
      <c r="E4" s="2">
        <v>108</v>
      </c>
      <c r="F4" t="s">
        <v>14</v>
      </c>
      <c r="G4" t="s">
        <v>15</v>
      </c>
      <c r="H4" t="s">
        <v>16</v>
      </c>
      <c r="I4" t="s">
        <v>17</v>
      </c>
      <c r="J4" t="s">
        <v>27</v>
      </c>
    </row>
    <row r="5" spans="1:14" x14ac:dyDescent="0.25">
      <c r="A5" t="s">
        <v>28</v>
      </c>
      <c r="B5" t="s">
        <v>29</v>
      </c>
      <c r="C5" t="s">
        <v>21</v>
      </c>
      <c r="D5" t="s">
        <v>13</v>
      </c>
      <c r="E5" s="2">
        <v>100</v>
      </c>
      <c r="F5" t="s">
        <v>14</v>
      </c>
      <c r="G5" t="s">
        <v>30</v>
      </c>
      <c r="H5" t="s">
        <v>16</v>
      </c>
      <c r="I5" t="s">
        <v>22</v>
      </c>
      <c r="J5" t="s">
        <v>31</v>
      </c>
    </row>
    <row r="6" spans="1:14" x14ac:dyDescent="0.25">
      <c r="A6" t="s">
        <v>32</v>
      </c>
      <c r="B6" t="s">
        <v>33</v>
      </c>
      <c r="C6" t="s">
        <v>34</v>
      </c>
      <c r="D6" t="s">
        <v>13</v>
      </c>
      <c r="E6" s="2">
        <v>112</v>
      </c>
      <c r="F6" t="s">
        <v>14</v>
      </c>
      <c r="G6" t="s">
        <v>30</v>
      </c>
      <c r="H6" t="s">
        <v>35</v>
      </c>
      <c r="I6" t="s">
        <v>36</v>
      </c>
      <c r="J6" t="s">
        <v>37</v>
      </c>
    </row>
    <row r="7" spans="1:14" x14ac:dyDescent="0.25">
      <c r="A7" t="s">
        <v>38</v>
      </c>
      <c r="B7" t="s">
        <v>39</v>
      </c>
      <c r="C7" t="s">
        <v>40</v>
      </c>
      <c r="D7" t="s">
        <v>13</v>
      </c>
      <c r="E7" s="2">
        <v>112</v>
      </c>
      <c r="F7" t="s">
        <v>14</v>
      </c>
      <c r="G7" t="s">
        <v>41</v>
      </c>
      <c r="H7" t="s">
        <v>35</v>
      </c>
      <c r="I7" t="s">
        <v>36</v>
      </c>
      <c r="J7" t="s">
        <v>37</v>
      </c>
    </row>
    <row r="8" spans="1:14" x14ac:dyDescent="0.25">
      <c r="A8" t="s">
        <v>42</v>
      </c>
      <c r="B8" t="s">
        <v>43</v>
      </c>
      <c r="C8" t="s">
        <v>44</v>
      </c>
      <c r="D8" t="s">
        <v>13</v>
      </c>
      <c r="E8" s="2">
        <v>115</v>
      </c>
      <c r="F8" t="s">
        <v>14</v>
      </c>
      <c r="G8" t="s">
        <v>41</v>
      </c>
      <c r="H8" t="s">
        <v>35</v>
      </c>
      <c r="I8" t="s">
        <v>45</v>
      </c>
      <c r="J8" t="s">
        <v>46</v>
      </c>
    </row>
    <row r="9" spans="1:14" x14ac:dyDescent="0.25">
      <c r="A9" t="s">
        <v>47</v>
      </c>
      <c r="B9" t="s">
        <v>48</v>
      </c>
      <c r="C9" t="s">
        <v>21</v>
      </c>
      <c r="D9" t="s">
        <v>49</v>
      </c>
      <c r="E9" s="2">
        <v>50</v>
      </c>
      <c r="F9" t="s">
        <v>50</v>
      </c>
      <c r="G9" t="s">
        <v>51</v>
      </c>
      <c r="H9" t="s">
        <v>35</v>
      </c>
      <c r="I9" t="s">
        <v>45</v>
      </c>
      <c r="J9" t="s">
        <v>46</v>
      </c>
    </row>
    <row r="10" spans="1:14" x14ac:dyDescent="0.25">
      <c r="A10" t="s">
        <v>52</v>
      </c>
      <c r="B10" t="s">
        <v>53</v>
      </c>
      <c r="C10" t="s">
        <v>54</v>
      </c>
      <c r="D10" t="s">
        <v>49</v>
      </c>
      <c r="E10" s="2">
        <v>50</v>
      </c>
      <c r="F10" t="s">
        <v>50</v>
      </c>
      <c r="G10" t="s">
        <v>51</v>
      </c>
      <c r="H10" t="s">
        <v>35</v>
      </c>
      <c r="I10" t="s">
        <v>55</v>
      </c>
      <c r="J10" t="s">
        <v>56</v>
      </c>
    </row>
    <row r="11" spans="1:14" x14ac:dyDescent="0.25">
      <c r="A11" t="s">
        <v>57</v>
      </c>
      <c r="B11" t="s">
        <v>58</v>
      </c>
      <c r="C11" t="s">
        <v>59</v>
      </c>
      <c r="D11" t="s">
        <v>49</v>
      </c>
      <c r="E11" s="2">
        <v>50</v>
      </c>
      <c r="F11" t="s">
        <v>60</v>
      </c>
      <c r="G11" t="s">
        <v>51</v>
      </c>
      <c r="H11" t="s">
        <v>16</v>
      </c>
      <c r="I11" t="s">
        <v>17</v>
      </c>
      <c r="J11" t="s">
        <v>18</v>
      </c>
    </row>
    <row r="12" spans="1:14" x14ac:dyDescent="0.25">
      <c r="A12" t="s">
        <v>61</v>
      </c>
      <c r="B12" t="s">
        <v>62</v>
      </c>
      <c r="C12" t="s">
        <v>63</v>
      </c>
      <c r="D12" t="s">
        <v>49</v>
      </c>
      <c r="E12" s="2">
        <v>100</v>
      </c>
      <c r="F12" t="s">
        <v>60</v>
      </c>
      <c r="G12" t="s">
        <v>15</v>
      </c>
      <c r="H12" t="s">
        <v>16</v>
      </c>
      <c r="I12" t="s">
        <v>17</v>
      </c>
      <c r="J12" t="s">
        <v>27</v>
      </c>
    </row>
    <row r="13" spans="1:14" x14ac:dyDescent="0.25">
      <c r="A13" t="s">
        <v>64</v>
      </c>
      <c r="B13" t="s">
        <v>65</v>
      </c>
      <c r="C13" t="s">
        <v>66</v>
      </c>
      <c r="D13" t="s">
        <v>49</v>
      </c>
      <c r="E13" s="2">
        <v>90</v>
      </c>
      <c r="F13" t="s">
        <v>67</v>
      </c>
      <c r="G13" t="s">
        <v>30</v>
      </c>
      <c r="H13" t="s">
        <v>16</v>
      </c>
      <c r="I13" t="s">
        <v>22</v>
      </c>
      <c r="J13" t="s">
        <v>23</v>
      </c>
    </row>
    <row r="14" spans="1:14" x14ac:dyDescent="0.25">
      <c r="A14" t="s">
        <v>68</v>
      </c>
      <c r="B14" t="s">
        <v>69</v>
      </c>
      <c r="C14" t="s">
        <v>70</v>
      </c>
      <c r="D14" t="s">
        <v>49</v>
      </c>
      <c r="E14" s="2">
        <v>105</v>
      </c>
      <c r="F14" t="s">
        <v>71</v>
      </c>
      <c r="G14" t="s">
        <v>41</v>
      </c>
      <c r="H14" t="s">
        <v>16</v>
      </c>
      <c r="I14" t="s">
        <v>22</v>
      </c>
      <c r="J14" t="s">
        <v>31</v>
      </c>
    </row>
    <row r="15" spans="1:14" x14ac:dyDescent="0.25">
      <c r="A15" t="s">
        <v>72</v>
      </c>
      <c r="B15" t="s">
        <v>73</v>
      </c>
      <c r="C15" t="s">
        <v>70</v>
      </c>
      <c r="D15" t="s">
        <v>49</v>
      </c>
      <c r="E15" s="2">
        <v>105</v>
      </c>
      <c r="F15" t="s">
        <v>60</v>
      </c>
      <c r="G15" t="s">
        <v>41</v>
      </c>
      <c r="H15" t="s">
        <v>35</v>
      </c>
      <c r="I15" t="s">
        <v>36</v>
      </c>
      <c r="J15" t="s">
        <v>37</v>
      </c>
    </row>
    <row r="16" spans="1:14" x14ac:dyDescent="0.25">
      <c r="A16" t="s">
        <v>74</v>
      </c>
      <c r="B16" t="s">
        <v>75</v>
      </c>
      <c r="C16" t="s">
        <v>76</v>
      </c>
      <c r="D16" t="s">
        <v>49</v>
      </c>
      <c r="E16" s="2">
        <v>80</v>
      </c>
      <c r="F16" t="s">
        <v>71</v>
      </c>
      <c r="G16" t="s">
        <v>15</v>
      </c>
      <c r="H16" t="s">
        <v>35</v>
      </c>
      <c r="I16" t="s">
        <v>36</v>
      </c>
      <c r="J16" t="s">
        <v>37</v>
      </c>
    </row>
    <row r="17" spans="1:10" x14ac:dyDescent="0.25">
      <c r="A17" t="s">
        <v>77</v>
      </c>
      <c r="B17" t="s">
        <v>78</v>
      </c>
      <c r="C17" t="s">
        <v>66</v>
      </c>
      <c r="D17" t="s">
        <v>13</v>
      </c>
      <c r="E17" s="2">
        <v>115</v>
      </c>
      <c r="F17" t="s">
        <v>14</v>
      </c>
      <c r="G17" t="s">
        <v>79</v>
      </c>
      <c r="H17" t="s">
        <v>35</v>
      </c>
      <c r="I17" t="s">
        <v>55</v>
      </c>
      <c r="J17" t="s">
        <v>56</v>
      </c>
    </row>
    <row r="18" spans="1:10" x14ac:dyDescent="0.25">
      <c r="A18" t="s">
        <v>80</v>
      </c>
      <c r="B18" t="s">
        <v>81</v>
      </c>
      <c r="C18" t="s">
        <v>40</v>
      </c>
      <c r="D18" t="s">
        <v>13</v>
      </c>
      <c r="E18" s="2">
        <v>112</v>
      </c>
      <c r="F18" t="s">
        <v>14</v>
      </c>
      <c r="G18" t="s">
        <v>79</v>
      </c>
      <c r="H18" t="s">
        <v>16</v>
      </c>
      <c r="I18" t="s">
        <v>17</v>
      </c>
      <c r="J18" t="s">
        <v>27</v>
      </c>
    </row>
    <row r="19" spans="1:10" x14ac:dyDescent="0.25">
      <c r="A19" t="s">
        <v>82</v>
      </c>
      <c r="B19" t="s">
        <v>83</v>
      </c>
      <c r="C19" t="s">
        <v>21</v>
      </c>
      <c r="D19" t="s">
        <v>13</v>
      </c>
      <c r="E19" s="2">
        <v>100</v>
      </c>
      <c r="F19" t="s">
        <v>14</v>
      </c>
      <c r="G19" t="s">
        <v>79</v>
      </c>
      <c r="H19" t="s">
        <v>16</v>
      </c>
      <c r="I19" t="s">
        <v>22</v>
      </c>
      <c r="J19" t="s">
        <v>23</v>
      </c>
    </row>
    <row r="20" spans="1:10" x14ac:dyDescent="0.25">
      <c r="A20" t="s">
        <v>84</v>
      </c>
      <c r="B20" t="s">
        <v>85</v>
      </c>
      <c r="C20" t="s">
        <v>86</v>
      </c>
      <c r="D20" t="s">
        <v>13</v>
      </c>
      <c r="E20" s="2">
        <v>90</v>
      </c>
      <c r="F20" t="s">
        <v>14</v>
      </c>
      <c r="G20" t="s">
        <v>87</v>
      </c>
      <c r="H20" t="s">
        <v>16</v>
      </c>
      <c r="I20" t="s">
        <v>17</v>
      </c>
      <c r="J20" t="s">
        <v>18</v>
      </c>
    </row>
    <row r="21" spans="1:10" x14ac:dyDescent="0.25">
      <c r="A21" t="s">
        <v>88</v>
      </c>
      <c r="B21" t="s">
        <v>89</v>
      </c>
      <c r="C21" t="s">
        <v>26</v>
      </c>
      <c r="D21" t="s">
        <v>13</v>
      </c>
      <c r="E21" s="2">
        <v>110</v>
      </c>
      <c r="F21" t="s">
        <v>14</v>
      </c>
      <c r="G21" t="s">
        <v>87</v>
      </c>
      <c r="H21" t="s">
        <v>16</v>
      </c>
      <c r="I21" t="s">
        <v>22</v>
      </c>
      <c r="J21" t="s">
        <v>31</v>
      </c>
    </row>
    <row r="22" spans="1:10" x14ac:dyDescent="0.25">
      <c r="A22" t="s">
        <v>90</v>
      </c>
      <c r="B22" t="s">
        <v>91</v>
      </c>
      <c r="C22" t="s">
        <v>12</v>
      </c>
      <c r="D22" t="s">
        <v>13</v>
      </c>
      <c r="E22" s="2">
        <v>115</v>
      </c>
      <c r="F22" t="s">
        <v>14</v>
      </c>
      <c r="G22" t="s">
        <v>87</v>
      </c>
      <c r="H22" t="s">
        <v>35</v>
      </c>
      <c r="I22" t="s">
        <v>36</v>
      </c>
      <c r="J22" t="s">
        <v>37</v>
      </c>
    </row>
    <row r="23" spans="1:10" x14ac:dyDescent="0.25">
      <c r="A23" t="s">
        <v>92</v>
      </c>
      <c r="B23" t="s">
        <v>93</v>
      </c>
      <c r="C23" t="s">
        <v>94</v>
      </c>
      <c r="D23" t="s">
        <v>13</v>
      </c>
      <c r="E23" s="2">
        <v>111</v>
      </c>
      <c r="F23" t="s">
        <v>14</v>
      </c>
      <c r="G23" t="s">
        <v>87</v>
      </c>
      <c r="H23" t="s">
        <v>35</v>
      </c>
      <c r="I23" t="s">
        <v>36</v>
      </c>
      <c r="J23" t="s">
        <v>95</v>
      </c>
    </row>
    <row r="24" spans="1:10" x14ac:dyDescent="0.25">
      <c r="A24" t="s">
        <v>96</v>
      </c>
      <c r="B24" t="s">
        <v>97</v>
      </c>
      <c r="C24" t="s">
        <v>44</v>
      </c>
      <c r="D24" t="s">
        <v>13</v>
      </c>
      <c r="E24" s="2">
        <v>115</v>
      </c>
      <c r="F24" t="s">
        <v>14</v>
      </c>
      <c r="G24" t="s">
        <v>15</v>
      </c>
      <c r="H24" t="s">
        <v>35</v>
      </c>
      <c r="I24" t="s">
        <v>55</v>
      </c>
      <c r="J24" t="s">
        <v>56</v>
      </c>
    </row>
    <row r="25" spans="1:10" x14ac:dyDescent="0.25">
      <c r="A25" t="s">
        <v>98</v>
      </c>
      <c r="B25" t="s">
        <v>99</v>
      </c>
      <c r="C25" t="s">
        <v>100</v>
      </c>
      <c r="D25" t="s">
        <v>13</v>
      </c>
      <c r="E25" s="2">
        <v>112</v>
      </c>
      <c r="F25" t="s">
        <v>14</v>
      </c>
      <c r="G25" t="s">
        <v>101</v>
      </c>
      <c r="H25" t="s">
        <v>35</v>
      </c>
      <c r="I25" t="s">
        <v>36</v>
      </c>
      <c r="J25" t="s">
        <v>95</v>
      </c>
    </row>
    <row r="26" spans="1:10" x14ac:dyDescent="0.25">
      <c r="A26" t="s">
        <v>102</v>
      </c>
      <c r="B26" t="s">
        <v>103</v>
      </c>
      <c r="C26" t="s">
        <v>66</v>
      </c>
      <c r="D26" t="s">
        <v>13</v>
      </c>
      <c r="E26" s="2">
        <v>114</v>
      </c>
      <c r="F26" t="s">
        <v>14</v>
      </c>
      <c r="G26" t="s">
        <v>104</v>
      </c>
      <c r="H26" t="s">
        <v>16</v>
      </c>
      <c r="I26" t="s">
        <v>17</v>
      </c>
      <c r="J26" t="s">
        <v>27</v>
      </c>
    </row>
    <row r="27" spans="1:10" x14ac:dyDescent="0.25">
      <c r="A27" t="s">
        <v>105</v>
      </c>
      <c r="B27" t="s">
        <v>106</v>
      </c>
      <c r="C27" t="s">
        <v>21</v>
      </c>
      <c r="D27" t="s">
        <v>49</v>
      </c>
      <c r="E27" s="2">
        <v>80</v>
      </c>
      <c r="F27" t="s">
        <v>71</v>
      </c>
      <c r="G27" t="s">
        <v>104</v>
      </c>
      <c r="H27" t="s">
        <v>16</v>
      </c>
      <c r="I27" t="s">
        <v>17</v>
      </c>
      <c r="J27" t="s">
        <v>18</v>
      </c>
    </row>
    <row r="28" spans="1:10" x14ac:dyDescent="0.25">
      <c r="A28" t="s">
        <v>107</v>
      </c>
      <c r="B28" t="s">
        <v>108</v>
      </c>
      <c r="C28" t="s">
        <v>109</v>
      </c>
      <c r="D28" t="s">
        <v>49</v>
      </c>
      <c r="E28" s="2">
        <v>100</v>
      </c>
      <c r="F28" t="s">
        <v>67</v>
      </c>
      <c r="G28" t="s">
        <v>104</v>
      </c>
      <c r="H28" t="s">
        <v>16</v>
      </c>
      <c r="I28" t="s">
        <v>17</v>
      </c>
      <c r="J28" t="s">
        <v>18</v>
      </c>
    </row>
    <row r="29" spans="1:10" x14ac:dyDescent="0.25">
      <c r="A29" t="s">
        <v>110</v>
      </c>
      <c r="B29" t="s">
        <v>111</v>
      </c>
      <c r="C29" t="s">
        <v>112</v>
      </c>
      <c r="D29" t="s">
        <v>49</v>
      </c>
      <c r="E29" s="2">
        <v>90</v>
      </c>
      <c r="F29" t="s">
        <v>67</v>
      </c>
      <c r="G29" t="s">
        <v>101</v>
      </c>
      <c r="H29" t="s">
        <v>16</v>
      </c>
      <c r="I29" t="s">
        <v>22</v>
      </c>
      <c r="J29" t="s">
        <v>23</v>
      </c>
    </row>
    <row r="30" spans="1:10" x14ac:dyDescent="0.25">
      <c r="A30" t="s">
        <v>113</v>
      </c>
      <c r="B30" t="s">
        <v>114</v>
      </c>
      <c r="C30" t="s">
        <v>63</v>
      </c>
      <c r="D30" t="s">
        <v>49</v>
      </c>
      <c r="E30" s="2">
        <v>100</v>
      </c>
      <c r="F30" t="s">
        <v>50</v>
      </c>
      <c r="G30" t="s">
        <v>101</v>
      </c>
      <c r="H30" t="s">
        <v>35</v>
      </c>
      <c r="I30" t="s">
        <v>45</v>
      </c>
      <c r="J30" t="s">
        <v>46</v>
      </c>
    </row>
    <row r="31" spans="1:10" x14ac:dyDescent="0.25">
      <c r="A31" t="s">
        <v>115</v>
      </c>
      <c r="B31" t="s">
        <v>116</v>
      </c>
      <c r="C31" t="s">
        <v>76</v>
      </c>
      <c r="D31" t="s">
        <v>49</v>
      </c>
      <c r="E31" s="2">
        <v>80</v>
      </c>
      <c r="F31" t="s">
        <v>50</v>
      </c>
      <c r="G31" t="s">
        <v>79</v>
      </c>
      <c r="H31" t="s">
        <v>35</v>
      </c>
      <c r="I31" t="s">
        <v>36</v>
      </c>
      <c r="J31" t="s">
        <v>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election activeCell="B11" sqref="B11"/>
    </sheetView>
  </sheetViews>
  <sheetFormatPr defaultRowHeight="15" x14ac:dyDescent="0.25"/>
  <cols>
    <col min="1" max="1" width="16" customWidth="1"/>
    <col min="2" max="2" width="36" customWidth="1"/>
    <col min="3" max="4" width="27" customWidth="1"/>
    <col min="5" max="5" width="23" customWidth="1"/>
    <col min="6" max="6" width="12" customWidth="1"/>
  </cols>
  <sheetData>
    <row r="1" spans="1:6" x14ac:dyDescent="0.25">
      <c r="A1" s="1" t="s">
        <v>117</v>
      </c>
      <c r="B1" s="1" t="s">
        <v>118</v>
      </c>
      <c r="C1" s="1" t="s">
        <v>119</v>
      </c>
      <c r="D1" s="1" t="s">
        <v>120</v>
      </c>
      <c r="E1" s="1" t="s">
        <v>121</v>
      </c>
      <c r="F1" s="1" t="s">
        <v>122</v>
      </c>
    </row>
    <row r="2" spans="1:6" x14ac:dyDescent="0.25">
      <c r="A2" t="s">
        <v>123</v>
      </c>
      <c r="B2" t="s">
        <v>124</v>
      </c>
      <c r="C2" t="s">
        <v>125</v>
      </c>
      <c r="D2" t="s">
        <v>126</v>
      </c>
      <c r="E2" t="s">
        <v>127</v>
      </c>
      <c r="F2" t="s">
        <v>128</v>
      </c>
    </row>
    <row r="3" spans="1:6" x14ac:dyDescent="0.25">
      <c r="A3" t="s">
        <v>129</v>
      </c>
      <c r="B3" t="s">
        <v>130</v>
      </c>
      <c r="C3" t="s">
        <v>125</v>
      </c>
      <c r="D3" t="s">
        <v>126</v>
      </c>
      <c r="E3" t="s">
        <v>131</v>
      </c>
      <c r="F3" t="s">
        <v>128</v>
      </c>
    </row>
    <row r="4" spans="1:6" x14ac:dyDescent="0.25">
      <c r="A4" t="s">
        <v>132</v>
      </c>
      <c r="B4" t="s">
        <v>133</v>
      </c>
      <c r="C4" t="s">
        <v>134</v>
      </c>
      <c r="D4" t="s">
        <v>126</v>
      </c>
      <c r="E4" t="s">
        <v>135</v>
      </c>
      <c r="F4" t="s">
        <v>128</v>
      </c>
    </row>
    <row r="5" spans="1:6" x14ac:dyDescent="0.25">
      <c r="A5" t="s">
        <v>136</v>
      </c>
      <c r="B5" t="s">
        <v>137</v>
      </c>
      <c r="C5" t="s">
        <v>138</v>
      </c>
      <c r="D5" t="s">
        <v>126</v>
      </c>
      <c r="E5" t="s">
        <v>139</v>
      </c>
      <c r="F5" t="s">
        <v>128</v>
      </c>
    </row>
    <row r="6" spans="1:6" x14ac:dyDescent="0.25">
      <c r="A6" t="s">
        <v>140</v>
      </c>
      <c r="B6" t="s">
        <v>141</v>
      </c>
      <c r="C6" t="s">
        <v>142</v>
      </c>
      <c r="D6" t="s">
        <v>126</v>
      </c>
      <c r="E6" t="s">
        <v>143</v>
      </c>
      <c r="F6" t="s">
        <v>128</v>
      </c>
    </row>
    <row r="7" spans="1:6" x14ac:dyDescent="0.25">
      <c r="A7" t="s">
        <v>144</v>
      </c>
      <c r="B7" t="s">
        <v>145</v>
      </c>
      <c r="C7" t="s">
        <v>146</v>
      </c>
      <c r="D7" t="s">
        <v>126</v>
      </c>
      <c r="E7" t="s">
        <v>131</v>
      </c>
      <c r="F7" t="s">
        <v>128</v>
      </c>
    </row>
    <row r="8" spans="1:6" x14ac:dyDescent="0.25">
      <c r="A8" t="s">
        <v>147</v>
      </c>
      <c r="B8" t="s">
        <v>148</v>
      </c>
      <c r="C8" t="s">
        <v>146</v>
      </c>
      <c r="D8" t="s">
        <v>126</v>
      </c>
      <c r="E8" t="s">
        <v>127</v>
      </c>
      <c r="F8" t="s">
        <v>128</v>
      </c>
    </row>
    <row r="9" spans="1:6" x14ac:dyDescent="0.25">
      <c r="A9" t="s">
        <v>149</v>
      </c>
      <c r="B9" t="s">
        <v>150</v>
      </c>
      <c r="C9" t="s">
        <v>151</v>
      </c>
      <c r="D9" t="s">
        <v>126</v>
      </c>
      <c r="E9" t="s">
        <v>131</v>
      </c>
      <c r="F9" t="s">
        <v>128</v>
      </c>
    </row>
    <row r="10" spans="1:6" x14ac:dyDescent="0.25">
      <c r="A10" t="s">
        <v>152</v>
      </c>
      <c r="B10" t="s">
        <v>153</v>
      </c>
      <c r="C10" t="s">
        <v>154</v>
      </c>
      <c r="D10" t="s">
        <v>126</v>
      </c>
      <c r="E10" t="s">
        <v>135</v>
      </c>
      <c r="F10" t="s">
        <v>128</v>
      </c>
    </row>
    <row r="11" spans="1:6" x14ac:dyDescent="0.25">
      <c r="A11" t="s">
        <v>155</v>
      </c>
      <c r="B11" t="s">
        <v>156</v>
      </c>
      <c r="C11" t="s">
        <v>125</v>
      </c>
      <c r="D11" t="s">
        <v>126</v>
      </c>
      <c r="E11" t="s">
        <v>135</v>
      </c>
      <c r="F11" t="s">
        <v>128</v>
      </c>
    </row>
    <row r="12" spans="1:6" x14ac:dyDescent="0.25">
      <c r="A12" t="s">
        <v>157</v>
      </c>
      <c r="B12" t="s">
        <v>158</v>
      </c>
      <c r="C12" t="s">
        <v>142</v>
      </c>
      <c r="D12" t="s">
        <v>126</v>
      </c>
      <c r="E12" t="s">
        <v>143</v>
      </c>
      <c r="F12" t="s">
        <v>128</v>
      </c>
    </row>
    <row r="13" spans="1:6" x14ac:dyDescent="0.25">
      <c r="A13" t="s">
        <v>159</v>
      </c>
      <c r="B13" t="s">
        <v>160</v>
      </c>
      <c r="C13" t="s">
        <v>161</v>
      </c>
      <c r="D13" t="s">
        <v>126</v>
      </c>
      <c r="E13" t="s">
        <v>131</v>
      </c>
      <c r="F13" t="s">
        <v>128</v>
      </c>
    </row>
    <row r="14" spans="1:6" x14ac:dyDescent="0.25">
      <c r="A14" t="s">
        <v>162</v>
      </c>
      <c r="B14" t="s">
        <v>163</v>
      </c>
      <c r="C14" t="s">
        <v>164</v>
      </c>
      <c r="D14" t="s">
        <v>126</v>
      </c>
      <c r="E14" t="s">
        <v>131</v>
      </c>
      <c r="F14" t="s">
        <v>128</v>
      </c>
    </row>
    <row r="15" spans="1:6" x14ac:dyDescent="0.25">
      <c r="A15" t="s">
        <v>165</v>
      </c>
      <c r="B15" t="s">
        <v>166</v>
      </c>
      <c r="C15" t="s">
        <v>167</v>
      </c>
      <c r="D15" t="s">
        <v>126</v>
      </c>
      <c r="E15" t="s">
        <v>131</v>
      </c>
      <c r="F15" t="s">
        <v>128</v>
      </c>
    </row>
    <row r="16" spans="1:6" x14ac:dyDescent="0.25">
      <c r="A16" t="s">
        <v>168</v>
      </c>
      <c r="B16" t="s">
        <v>169</v>
      </c>
      <c r="C16" t="s">
        <v>170</v>
      </c>
      <c r="D16" t="s">
        <v>171</v>
      </c>
      <c r="E16" t="s">
        <v>131</v>
      </c>
      <c r="F16" t="s">
        <v>128</v>
      </c>
    </row>
    <row r="17" spans="1:6" x14ac:dyDescent="0.25">
      <c r="A17" t="s">
        <v>172</v>
      </c>
      <c r="B17" t="s">
        <v>173</v>
      </c>
      <c r="C17" t="s">
        <v>174</v>
      </c>
      <c r="D17" t="s">
        <v>171</v>
      </c>
      <c r="E17" t="s">
        <v>131</v>
      </c>
      <c r="F17" t="s">
        <v>128</v>
      </c>
    </row>
    <row r="18" spans="1:6" x14ac:dyDescent="0.25">
      <c r="A18" t="s">
        <v>175</v>
      </c>
      <c r="B18" t="s">
        <v>176</v>
      </c>
      <c r="C18" t="s">
        <v>170</v>
      </c>
      <c r="D18" t="s">
        <v>171</v>
      </c>
      <c r="E18" t="s">
        <v>131</v>
      </c>
      <c r="F18" t="s">
        <v>128</v>
      </c>
    </row>
    <row r="19" spans="1:6" x14ac:dyDescent="0.25">
      <c r="A19" t="s">
        <v>177</v>
      </c>
      <c r="B19" t="s">
        <v>178</v>
      </c>
      <c r="C19" t="s">
        <v>170</v>
      </c>
      <c r="D19" t="s">
        <v>171</v>
      </c>
      <c r="E19" t="s">
        <v>131</v>
      </c>
      <c r="F19" t="s">
        <v>128</v>
      </c>
    </row>
    <row r="20" spans="1:6" x14ac:dyDescent="0.25">
      <c r="A20" t="s">
        <v>179</v>
      </c>
      <c r="B20" t="s">
        <v>180</v>
      </c>
      <c r="C20" t="s">
        <v>174</v>
      </c>
      <c r="D20" t="s">
        <v>171</v>
      </c>
      <c r="E20" t="s">
        <v>131</v>
      </c>
      <c r="F20" t="s">
        <v>128</v>
      </c>
    </row>
    <row r="21" spans="1:6" x14ac:dyDescent="0.25">
      <c r="A21" t="s">
        <v>181</v>
      </c>
      <c r="B21" t="s">
        <v>182</v>
      </c>
      <c r="C21" t="s">
        <v>170</v>
      </c>
      <c r="D21" t="s">
        <v>171</v>
      </c>
      <c r="E21" t="s">
        <v>131</v>
      </c>
      <c r="F21" t="s">
        <v>128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4"/>
  <sheetViews>
    <sheetView workbookViewId="0">
      <selection activeCell="Q2" sqref="Q2:Q104"/>
    </sheetView>
  </sheetViews>
  <sheetFormatPr defaultRowHeight="15" x14ac:dyDescent="0.25"/>
  <cols>
    <col min="1" max="1" width="13" customWidth="1"/>
    <col min="2" max="2" width="19" customWidth="1"/>
    <col min="3" max="3" width="16" customWidth="1"/>
    <col min="4" max="4" width="36" customWidth="1"/>
    <col min="5" max="16" width="5" customWidth="1"/>
    <col min="17" max="17" width="11" customWidth="1"/>
    <col min="19" max="19" width="14.85546875" customWidth="1"/>
  </cols>
  <sheetData>
    <row r="1" spans="1:17" x14ac:dyDescent="0.25">
      <c r="A1" s="1" t="s">
        <v>0</v>
      </c>
      <c r="B1" s="1" t="s">
        <v>1</v>
      </c>
      <c r="C1" s="1" t="s">
        <v>117</v>
      </c>
      <c r="D1" s="1" t="s">
        <v>118</v>
      </c>
      <c r="E1" s="1" t="s">
        <v>183</v>
      </c>
      <c r="F1" s="1" t="s">
        <v>184</v>
      </c>
      <c r="G1" s="1" t="s">
        <v>185</v>
      </c>
      <c r="H1" s="1" t="s">
        <v>186</v>
      </c>
      <c r="I1" s="1" t="s">
        <v>187</v>
      </c>
      <c r="J1" s="1" t="s">
        <v>188</v>
      </c>
      <c r="K1" s="1" t="s">
        <v>189</v>
      </c>
      <c r="L1" s="1" t="s">
        <v>190</v>
      </c>
      <c r="M1" s="1" t="s">
        <v>191</v>
      </c>
      <c r="N1" s="1" t="s">
        <v>192</v>
      </c>
      <c r="O1" s="1" t="s">
        <v>193</v>
      </c>
      <c r="P1" s="1" t="s">
        <v>194</v>
      </c>
      <c r="Q1" s="1" t="s">
        <v>195</v>
      </c>
    </row>
    <row r="2" spans="1:17" x14ac:dyDescent="0.25">
      <c r="A2" t="s">
        <v>10</v>
      </c>
      <c r="B2" t="s">
        <v>11</v>
      </c>
      <c r="C2" t="s">
        <v>129</v>
      </c>
      <c r="D2" t="s">
        <v>130</v>
      </c>
      <c r="E2">
        <v>60</v>
      </c>
      <c r="F2">
        <v>50</v>
      </c>
      <c r="G2">
        <v>70</v>
      </c>
      <c r="Q2">
        <f>SUM(E2:P2)</f>
        <v>180</v>
      </c>
    </row>
    <row r="3" spans="1:17" x14ac:dyDescent="0.25">
      <c r="A3" t="s">
        <v>10</v>
      </c>
      <c r="B3" t="s">
        <v>11</v>
      </c>
      <c r="C3" t="s">
        <v>144</v>
      </c>
      <c r="D3" t="s">
        <v>145</v>
      </c>
      <c r="E3">
        <v>40</v>
      </c>
      <c r="F3">
        <v>50</v>
      </c>
      <c r="G3">
        <v>30</v>
      </c>
      <c r="Q3">
        <f t="shared" ref="Q3:Q66" si="0">SUM(E3:P3)</f>
        <v>120</v>
      </c>
    </row>
    <row r="4" spans="1:17" x14ac:dyDescent="0.25">
      <c r="A4" t="s">
        <v>10</v>
      </c>
      <c r="B4" t="s">
        <v>11</v>
      </c>
      <c r="C4" t="s">
        <v>168</v>
      </c>
      <c r="D4" t="s">
        <v>169</v>
      </c>
      <c r="E4">
        <v>20</v>
      </c>
      <c r="F4">
        <v>20</v>
      </c>
      <c r="G4">
        <v>20</v>
      </c>
      <c r="Q4">
        <f t="shared" si="0"/>
        <v>60</v>
      </c>
    </row>
    <row r="5" spans="1:17" x14ac:dyDescent="0.25">
      <c r="A5" t="s">
        <v>10</v>
      </c>
      <c r="B5" t="s">
        <v>11</v>
      </c>
      <c r="C5" t="s">
        <v>175</v>
      </c>
      <c r="D5" t="s">
        <v>176</v>
      </c>
      <c r="E5">
        <v>40</v>
      </c>
      <c r="F5">
        <v>40</v>
      </c>
      <c r="G5">
        <v>40</v>
      </c>
      <c r="Q5">
        <f t="shared" si="0"/>
        <v>120</v>
      </c>
    </row>
    <row r="6" spans="1:17" x14ac:dyDescent="0.25">
      <c r="A6" t="s">
        <v>19</v>
      </c>
      <c r="B6" t="s">
        <v>20</v>
      </c>
      <c r="C6" t="s">
        <v>132</v>
      </c>
      <c r="D6" t="s">
        <v>133</v>
      </c>
      <c r="E6">
        <v>80</v>
      </c>
      <c r="F6">
        <v>90</v>
      </c>
      <c r="G6">
        <v>80</v>
      </c>
      <c r="Q6">
        <f t="shared" si="0"/>
        <v>250</v>
      </c>
    </row>
    <row r="7" spans="1:17" x14ac:dyDescent="0.25">
      <c r="A7" t="s">
        <v>19</v>
      </c>
      <c r="B7" t="s">
        <v>20</v>
      </c>
      <c r="C7" t="s">
        <v>172</v>
      </c>
      <c r="D7" t="s">
        <v>173</v>
      </c>
      <c r="E7">
        <v>40</v>
      </c>
      <c r="F7">
        <v>30</v>
      </c>
      <c r="G7">
        <v>40</v>
      </c>
      <c r="Q7">
        <f t="shared" si="0"/>
        <v>110</v>
      </c>
    </row>
    <row r="8" spans="1:17" x14ac:dyDescent="0.25">
      <c r="A8" t="s">
        <v>19</v>
      </c>
      <c r="B8" t="s">
        <v>20</v>
      </c>
      <c r="C8" t="s">
        <v>168</v>
      </c>
      <c r="D8" t="s">
        <v>169</v>
      </c>
      <c r="E8">
        <v>40</v>
      </c>
      <c r="F8">
        <v>40</v>
      </c>
      <c r="G8">
        <v>40</v>
      </c>
      <c r="Q8">
        <f t="shared" si="0"/>
        <v>120</v>
      </c>
    </row>
    <row r="9" spans="1:17" x14ac:dyDescent="0.25">
      <c r="A9" t="s">
        <v>24</v>
      </c>
      <c r="B9" t="s">
        <v>25</v>
      </c>
      <c r="C9" t="s">
        <v>149</v>
      </c>
      <c r="D9" t="s">
        <v>150</v>
      </c>
      <c r="E9">
        <v>60</v>
      </c>
      <c r="F9">
        <v>60</v>
      </c>
      <c r="G9">
        <v>50</v>
      </c>
      <c r="Q9">
        <f t="shared" si="0"/>
        <v>170</v>
      </c>
    </row>
    <row r="10" spans="1:17" x14ac:dyDescent="0.25">
      <c r="A10" t="s">
        <v>24</v>
      </c>
      <c r="B10" t="s">
        <v>25</v>
      </c>
      <c r="C10" t="s">
        <v>159</v>
      </c>
      <c r="D10" t="s">
        <v>160</v>
      </c>
      <c r="E10">
        <v>50</v>
      </c>
      <c r="F10">
        <v>50</v>
      </c>
      <c r="G10">
        <v>60</v>
      </c>
      <c r="Q10">
        <f t="shared" si="0"/>
        <v>160</v>
      </c>
    </row>
    <row r="11" spans="1:17" x14ac:dyDescent="0.25">
      <c r="A11" t="s">
        <v>24</v>
      </c>
      <c r="B11" t="s">
        <v>25</v>
      </c>
      <c r="C11" t="s">
        <v>175</v>
      </c>
      <c r="D11" t="s">
        <v>176</v>
      </c>
      <c r="E11">
        <v>30</v>
      </c>
      <c r="F11">
        <v>30</v>
      </c>
      <c r="G11">
        <v>30</v>
      </c>
      <c r="Q11">
        <f t="shared" si="0"/>
        <v>90</v>
      </c>
    </row>
    <row r="12" spans="1:17" x14ac:dyDescent="0.25">
      <c r="A12" t="s">
        <v>24</v>
      </c>
      <c r="B12" t="s">
        <v>25</v>
      </c>
      <c r="C12" t="s">
        <v>168</v>
      </c>
      <c r="D12" t="s">
        <v>169</v>
      </c>
      <c r="E12">
        <v>20</v>
      </c>
      <c r="F12">
        <v>20</v>
      </c>
      <c r="G12">
        <v>20</v>
      </c>
      <c r="Q12">
        <f t="shared" si="0"/>
        <v>60</v>
      </c>
    </row>
    <row r="13" spans="1:17" x14ac:dyDescent="0.25">
      <c r="A13" t="s">
        <v>28</v>
      </c>
      <c r="B13" t="s">
        <v>29</v>
      </c>
      <c r="C13" t="s">
        <v>123</v>
      </c>
      <c r="D13" t="s">
        <v>124</v>
      </c>
      <c r="E13">
        <v>100</v>
      </c>
      <c r="F13">
        <v>80</v>
      </c>
      <c r="G13">
        <v>90</v>
      </c>
      <c r="Q13">
        <f t="shared" si="0"/>
        <v>270</v>
      </c>
    </row>
    <row r="14" spans="1:17" x14ac:dyDescent="0.25">
      <c r="A14" t="s">
        <v>28</v>
      </c>
      <c r="B14" t="s">
        <v>29</v>
      </c>
      <c r="C14" t="s">
        <v>179</v>
      </c>
      <c r="D14" t="s">
        <v>180</v>
      </c>
      <c r="E14">
        <v>40</v>
      </c>
      <c r="F14">
        <v>60</v>
      </c>
      <c r="G14">
        <v>50</v>
      </c>
      <c r="Q14">
        <f t="shared" si="0"/>
        <v>150</v>
      </c>
    </row>
    <row r="15" spans="1:17" x14ac:dyDescent="0.25">
      <c r="A15" t="s">
        <v>28</v>
      </c>
      <c r="B15" t="s">
        <v>29</v>
      </c>
      <c r="C15" t="s">
        <v>168</v>
      </c>
      <c r="D15" t="s">
        <v>169</v>
      </c>
      <c r="E15">
        <v>20</v>
      </c>
      <c r="F15">
        <v>20</v>
      </c>
      <c r="G15">
        <v>20</v>
      </c>
      <c r="Q15">
        <f t="shared" si="0"/>
        <v>60</v>
      </c>
    </row>
    <row r="16" spans="1:17" x14ac:dyDescent="0.25">
      <c r="A16" t="s">
        <v>32</v>
      </c>
      <c r="B16" t="s">
        <v>33</v>
      </c>
      <c r="C16" t="s">
        <v>155</v>
      </c>
      <c r="D16" t="s">
        <v>156</v>
      </c>
      <c r="E16">
        <v>80</v>
      </c>
      <c r="F16">
        <v>70</v>
      </c>
      <c r="G16">
        <v>80</v>
      </c>
      <c r="Q16">
        <f t="shared" si="0"/>
        <v>230</v>
      </c>
    </row>
    <row r="17" spans="1:17" x14ac:dyDescent="0.25">
      <c r="A17" t="s">
        <v>32</v>
      </c>
      <c r="B17" t="s">
        <v>33</v>
      </c>
      <c r="C17" t="s">
        <v>165</v>
      </c>
      <c r="D17" t="s">
        <v>166</v>
      </c>
      <c r="E17">
        <v>60</v>
      </c>
      <c r="F17">
        <v>70</v>
      </c>
      <c r="G17">
        <v>60</v>
      </c>
      <c r="Q17">
        <f t="shared" si="0"/>
        <v>190</v>
      </c>
    </row>
    <row r="18" spans="1:17" x14ac:dyDescent="0.25">
      <c r="A18" t="s">
        <v>32</v>
      </c>
      <c r="B18" t="s">
        <v>33</v>
      </c>
      <c r="C18" t="s">
        <v>168</v>
      </c>
      <c r="D18" t="s">
        <v>169</v>
      </c>
      <c r="E18">
        <v>20</v>
      </c>
      <c r="F18">
        <v>20</v>
      </c>
      <c r="G18">
        <v>20</v>
      </c>
      <c r="Q18">
        <f t="shared" si="0"/>
        <v>60</v>
      </c>
    </row>
    <row r="19" spans="1:17" x14ac:dyDescent="0.25">
      <c r="A19" t="s">
        <v>38</v>
      </c>
      <c r="B19" t="s">
        <v>39</v>
      </c>
      <c r="C19" t="s">
        <v>129</v>
      </c>
      <c r="D19" t="s">
        <v>130</v>
      </c>
      <c r="E19">
        <v>50</v>
      </c>
      <c r="F19">
        <v>60</v>
      </c>
      <c r="G19">
        <v>40</v>
      </c>
      <c r="Q19">
        <f t="shared" si="0"/>
        <v>150</v>
      </c>
    </row>
    <row r="20" spans="1:17" x14ac:dyDescent="0.25">
      <c r="A20" t="s">
        <v>38</v>
      </c>
      <c r="B20" t="s">
        <v>39</v>
      </c>
      <c r="C20" t="s">
        <v>152</v>
      </c>
      <c r="D20" t="s">
        <v>153</v>
      </c>
      <c r="E20">
        <v>50</v>
      </c>
      <c r="F20">
        <v>40</v>
      </c>
      <c r="G20">
        <v>60</v>
      </c>
      <c r="Q20">
        <f t="shared" si="0"/>
        <v>150</v>
      </c>
    </row>
    <row r="21" spans="1:17" x14ac:dyDescent="0.25">
      <c r="A21" t="s">
        <v>38</v>
      </c>
      <c r="B21" t="s">
        <v>39</v>
      </c>
      <c r="C21" t="s">
        <v>177</v>
      </c>
      <c r="D21" t="s">
        <v>178</v>
      </c>
      <c r="E21">
        <v>40</v>
      </c>
      <c r="F21">
        <v>40</v>
      </c>
      <c r="G21">
        <v>40</v>
      </c>
      <c r="Q21">
        <f t="shared" si="0"/>
        <v>120</v>
      </c>
    </row>
    <row r="22" spans="1:17" x14ac:dyDescent="0.25">
      <c r="A22" t="s">
        <v>38</v>
      </c>
      <c r="B22" t="s">
        <v>39</v>
      </c>
      <c r="C22" t="s">
        <v>168</v>
      </c>
      <c r="D22" t="s">
        <v>169</v>
      </c>
      <c r="E22">
        <v>20</v>
      </c>
      <c r="F22">
        <v>20</v>
      </c>
      <c r="G22">
        <v>20</v>
      </c>
      <c r="Q22">
        <f t="shared" si="0"/>
        <v>60</v>
      </c>
    </row>
    <row r="23" spans="1:17" x14ac:dyDescent="0.25">
      <c r="A23" t="s">
        <v>42</v>
      </c>
      <c r="B23" t="s">
        <v>43</v>
      </c>
      <c r="C23" t="s">
        <v>162</v>
      </c>
      <c r="D23" t="s">
        <v>163</v>
      </c>
      <c r="E23">
        <v>120</v>
      </c>
      <c r="F23">
        <v>110</v>
      </c>
      <c r="G23">
        <v>120</v>
      </c>
      <c r="Q23">
        <f t="shared" si="0"/>
        <v>350</v>
      </c>
    </row>
    <row r="24" spans="1:17" x14ac:dyDescent="0.25">
      <c r="A24" t="s">
        <v>42</v>
      </c>
      <c r="B24" t="s">
        <v>43</v>
      </c>
      <c r="C24" t="s">
        <v>175</v>
      </c>
      <c r="D24" t="s">
        <v>176</v>
      </c>
      <c r="E24">
        <v>20</v>
      </c>
      <c r="F24">
        <v>30</v>
      </c>
      <c r="G24">
        <v>20</v>
      </c>
      <c r="Q24">
        <f t="shared" si="0"/>
        <v>70</v>
      </c>
    </row>
    <row r="25" spans="1:17" x14ac:dyDescent="0.25">
      <c r="A25" t="s">
        <v>42</v>
      </c>
      <c r="B25" t="s">
        <v>43</v>
      </c>
      <c r="C25" t="s">
        <v>168</v>
      </c>
      <c r="D25" t="s">
        <v>169</v>
      </c>
      <c r="E25">
        <v>20</v>
      </c>
      <c r="F25">
        <v>20</v>
      </c>
      <c r="G25">
        <v>20</v>
      </c>
      <c r="Q25">
        <f t="shared" si="0"/>
        <v>60</v>
      </c>
    </row>
    <row r="26" spans="1:17" x14ac:dyDescent="0.25">
      <c r="A26" t="s">
        <v>47</v>
      </c>
      <c r="B26" t="s">
        <v>48</v>
      </c>
      <c r="C26" t="s">
        <v>144</v>
      </c>
      <c r="D26" t="s">
        <v>145</v>
      </c>
      <c r="E26">
        <v>80</v>
      </c>
      <c r="F26">
        <v>80</v>
      </c>
      <c r="G26">
        <v>80</v>
      </c>
      <c r="Q26">
        <f t="shared" si="0"/>
        <v>240</v>
      </c>
    </row>
    <row r="27" spans="1:17" x14ac:dyDescent="0.25">
      <c r="A27" t="s">
        <v>47</v>
      </c>
      <c r="B27" t="s">
        <v>48</v>
      </c>
      <c r="C27" t="s">
        <v>147</v>
      </c>
      <c r="D27" t="s">
        <v>148</v>
      </c>
      <c r="E27">
        <v>80</v>
      </c>
      <c r="F27">
        <v>80</v>
      </c>
      <c r="G27">
        <v>80</v>
      </c>
      <c r="Q27">
        <f t="shared" si="0"/>
        <v>240</v>
      </c>
    </row>
    <row r="28" spans="1:17" x14ac:dyDescent="0.25">
      <c r="A28" t="s">
        <v>52</v>
      </c>
      <c r="B28" t="s">
        <v>53</v>
      </c>
      <c r="C28" t="s">
        <v>136</v>
      </c>
      <c r="D28" t="s">
        <v>137</v>
      </c>
      <c r="E28">
        <v>100</v>
      </c>
      <c r="F28">
        <v>110</v>
      </c>
      <c r="G28">
        <v>100</v>
      </c>
      <c r="Q28">
        <f t="shared" si="0"/>
        <v>310</v>
      </c>
    </row>
    <row r="29" spans="1:17" x14ac:dyDescent="0.25">
      <c r="A29" t="s">
        <v>52</v>
      </c>
      <c r="B29" t="s">
        <v>53</v>
      </c>
      <c r="C29" t="s">
        <v>179</v>
      </c>
      <c r="D29" t="s">
        <v>180</v>
      </c>
      <c r="E29">
        <v>60</v>
      </c>
      <c r="F29">
        <v>50</v>
      </c>
      <c r="G29">
        <v>60</v>
      </c>
      <c r="Q29">
        <f t="shared" si="0"/>
        <v>170</v>
      </c>
    </row>
    <row r="30" spans="1:17" x14ac:dyDescent="0.25">
      <c r="A30" t="s">
        <v>57</v>
      </c>
      <c r="B30" t="s">
        <v>58</v>
      </c>
      <c r="C30" t="s">
        <v>165</v>
      </c>
      <c r="D30" t="s">
        <v>166</v>
      </c>
      <c r="E30">
        <v>80</v>
      </c>
      <c r="F30">
        <v>90</v>
      </c>
      <c r="G30">
        <v>80</v>
      </c>
      <c r="Q30">
        <f t="shared" si="0"/>
        <v>250</v>
      </c>
    </row>
    <row r="31" spans="1:17" x14ac:dyDescent="0.25">
      <c r="A31" t="s">
        <v>57</v>
      </c>
      <c r="B31" t="s">
        <v>58</v>
      </c>
      <c r="C31" t="s">
        <v>172</v>
      </c>
      <c r="D31" t="s">
        <v>173</v>
      </c>
      <c r="E31">
        <v>80</v>
      </c>
      <c r="F31">
        <v>70</v>
      </c>
      <c r="G31">
        <v>80</v>
      </c>
      <c r="Q31">
        <f t="shared" si="0"/>
        <v>230</v>
      </c>
    </row>
    <row r="32" spans="1:17" x14ac:dyDescent="0.25">
      <c r="A32" t="s">
        <v>61</v>
      </c>
      <c r="B32" t="s">
        <v>62</v>
      </c>
      <c r="C32" t="s">
        <v>155</v>
      </c>
      <c r="D32" t="s">
        <v>156</v>
      </c>
      <c r="E32">
        <v>60</v>
      </c>
      <c r="F32">
        <v>70</v>
      </c>
      <c r="G32">
        <v>50</v>
      </c>
      <c r="Q32">
        <f t="shared" si="0"/>
        <v>180</v>
      </c>
    </row>
    <row r="33" spans="1:17" x14ac:dyDescent="0.25">
      <c r="A33" t="s">
        <v>61</v>
      </c>
      <c r="B33" t="s">
        <v>62</v>
      </c>
      <c r="C33" t="s">
        <v>129</v>
      </c>
      <c r="D33" t="s">
        <v>130</v>
      </c>
      <c r="E33">
        <v>70</v>
      </c>
      <c r="F33">
        <v>40</v>
      </c>
      <c r="G33">
        <v>80</v>
      </c>
      <c r="Q33">
        <f t="shared" si="0"/>
        <v>190</v>
      </c>
    </row>
    <row r="34" spans="1:17" x14ac:dyDescent="0.25">
      <c r="A34" t="s">
        <v>61</v>
      </c>
      <c r="B34" t="s">
        <v>62</v>
      </c>
      <c r="C34" t="s">
        <v>175</v>
      </c>
      <c r="D34" t="s">
        <v>176</v>
      </c>
      <c r="E34">
        <v>30</v>
      </c>
      <c r="F34">
        <v>30</v>
      </c>
      <c r="G34">
        <v>30</v>
      </c>
      <c r="Q34">
        <f t="shared" si="0"/>
        <v>90</v>
      </c>
    </row>
    <row r="35" spans="1:17" x14ac:dyDescent="0.25">
      <c r="A35" t="s">
        <v>61</v>
      </c>
      <c r="B35" t="s">
        <v>62</v>
      </c>
      <c r="C35" t="s">
        <v>168</v>
      </c>
      <c r="D35" t="s">
        <v>169</v>
      </c>
      <c r="E35">
        <v>0</v>
      </c>
      <c r="F35">
        <v>20</v>
      </c>
      <c r="G35">
        <v>0</v>
      </c>
      <c r="Q35">
        <f t="shared" si="0"/>
        <v>20</v>
      </c>
    </row>
    <row r="36" spans="1:17" x14ac:dyDescent="0.25">
      <c r="A36" t="s">
        <v>64</v>
      </c>
      <c r="B36" t="s">
        <v>65</v>
      </c>
      <c r="C36" t="s">
        <v>123</v>
      </c>
      <c r="D36" t="s">
        <v>124</v>
      </c>
      <c r="E36">
        <v>70</v>
      </c>
      <c r="F36">
        <v>80</v>
      </c>
      <c r="G36">
        <v>70</v>
      </c>
      <c r="Q36">
        <f t="shared" si="0"/>
        <v>220</v>
      </c>
    </row>
    <row r="37" spans="1:17" x14ac:dyDescent="0.25">
      <c r="A37" t="s">
        <v>64</v>
      </c>
      <c r="B37" t="s">
        <v>65</v>
      </c>
      <c r="C37" t="s">
        <v>149</v>
      </c>
      <c r="D37" t="s">
        <v>150</v>
      </c>
      <c r="E37">
        <v>70</v>
      </c>
      <c r="F37">
        <v>80</v>
      </c>
      <c r="G37">
        <v>90</v>
      </c>
      <c r="Q37">
        <f t="shared" si="0"/>
        <v>240</v>
      </c>
    </row>
    <row r="38" spans="1:17" x14ac:dyDescent="0.25">
      <c r="A38" t="s">
        <v>64</v>
      </c>
      <c r="B38" t="s">
        <v>65</v>
      </c>
      <c r="C38" t="s">
        <v>168</v>
      </c>
      <c r="D38" t="s">
        <v>169</v>
      </c>
      <c r="E38">
        <v>20</v>
      </c>
      <c r="F38">
        <v>0</v>
      </c>
      <c r="G38">
        <v>0</v>
      </c>
      <c r="Q38">
        <f t="shared" si="0"/>
        <v>20</v>
      </c>
    </row>
    <row r="39" spans="1:17" x14ac:dyDescent="0.25">
      <c r="A39" t="s">
        <v>68</v>
      </c>
      <c r="B39" t="s">
        <v>69</v>
      </c>
      <c r="C39" t="s">
        <v>140</v>
      </c>
      <c r="D39" t="s">
        <v>141</v>
      </c>
      <c r="E39">
        <v>90</v>
      </c>
      <c r="F39">
        <v>80</v>
      </c>
      <c r="G39">
        <v>90</v>
      </c>
      <c r="Q39">
        <f t="shared" si="0"/>
        <v>260</v>
      </c>
    </row>
    <row r="40" spans="1:17" x14ac:dyDescent="0.25">
      <c r="A40" t="s">
        <v>68</v>
      </c>
      <c r="B40" t="s">
        <v>69</v>
      </c>
      <c r="C40" t="s">
        <v>157</v>
      </c>
      <c r="D40" t="s">
        <v>158</v>
      </c>
      <c r="E40">
        <v>70</v>
      </c>
      <c r="F40">
        <v>80</v>
      </c>
      <c r="G40">
        <v>70</v>
      </c>
      <c r="Q40">
        <f t="shared" si="0"/>
        <v>220</v>
      </c>
    </row>
    <row r="41" spans="1:17" x14ac:dyDescent="0.25">
      <c r="A41" t="s">
        <v>68</v>
      </c>
      <c r="B41" t="s">
        <v>69</v>
      </c>
      <c r="C41" t="s">
        <v>168</v>
      </c>
      <c r="D41" t="s">
        <v>169</v>
      </c>
      <c r="E41">
        <v>0</v>
      </c>
      <c r="F41">
        <v>0</v>
      </c>
      <c r="G41">
        <v>0</v>
      </c>
      <c r="Q41">
        <f t="shared" si="0"/>
        <v>0</v>
      </c>
    </row>
    <row r="42" spans="1:17" x14ac:dyDescent="0.25">
      <c r="A42" t="s">
        <v>72</v>
      </c>
      <c r="B42" t="s">
        <v>73</v>
      </c>
      <c r="C42" t="s">
        <v>132</v>
      </c>
      <c r="D42" t="s">
        <v>133</v>
      </c>
      <c r="E42">
        <v>60</v>
      </c>
      <c r="F42">
        <v>70</v>
      </c>
      <c r="G42">
        <v>60</v>
      </c>
      <c r="Q42">
        <f t="shared" si="0"/>
        <v>190</v>
      </c>
    </row>
    <row r="43" spans="1:17" x14ac:dyDescent="0.25">
      <c r="A43" t="s">
        <v>72</v>
      </c>
      <c r="B43" t="s">
        <v>73</v>
      </c>
      <c r="C43" t="s">
        <v>152</v>
      </c>
      <c r="D43" t="s">
        <v>153</v>
      </c>
      <c r="E43">
        <v>40</v>
      </c>
      <c r="F43">
        <v>30</v>
      </c>
      <c r="G43">
        <v>40</v>
      </c>
      <c r="Q43">
        <f t="shared" si="0"/>
        <v>110</v>
      </c>
    </row>
    <row r="44" spans="1:17" x14ac:dyDescent="0.25">
      <c r="A44" t="s">
        <v>72</v>
      </c>
      <c r="B44" t="s">
        <v>73</v>
      </c>
      <c r="C44" t="s">
        <v>172</v>
      </c>
      <c r="D44" t="s">
        <v>173</v>
      </c>
      <c r="E44">
        <v>60</v>
      </c>
      <c r="F44">
        <v>60</v>
      </c>
      <c r="G44">
        <v>60</v>
      </c>
      <c r="Q44">
        <f t="shared" si="0"/>
        <v>180</v>
      </c>
    </row>
    <row r="45" spans="1:17" x14ac:dyDescent="0.25">
      <c r="A45" t="s">
        <v>72</v>
      </c>
      <c r="B45" t="s">
        <v>73</v>
      </c>
      <c r="C45" t="s">
        <v>168</v>
      </c>
      <c r="D45" t="s">
        <v>169</v>
      </c>
      <c r="E45">
        <v>0</v>
      </c>
      <c r="F45">
        <v>0</v>
      </c>
      <c r="G45">
        <v>0</v>
      </c>
      <c r="Q45">
        <f t="shared" si="0"/>
        <v>0</v>
      </c>
    </row>
    <row r="46" spans="1:17" x14ac:dyDescent="0.25">
      <c r="A46" t="s">
        <v>74</v>
      </c>
      <c r="B46" t="s">
        <v>75</v>
      </c>
      <c r="C46" t="s">
        <v>136</v>
      </c>
      <c r="D46" t="s">
        <v>137</v>
      </c>
      <c r="E46">
        <v>60</v>
      </c>
      <c r="F46">
        <v>50</v>
      </c>
      <c r="G46">
        <v>60</v>
      </c>
      <c r="Q46">
        <f t="shared" si="0"/>
        <v>170</v>
      </c>
    </row>
    <row r="47" spans="1:17" x14ac:dyDescent="0.25">
      <c r="A47" t="s">
        <v>74</v>
      </c>
      <c r="B47" t="s">
        <v>75</v>
      </c>
      <c r="C47" t="s">
        <v>162</v>
      </c>
      <c r="D47" t="s">
        <v>163</v>
      </c>
      <c r="E47">
        <v>80</v>
      </c>
      <c r="F47">
        <v>90</v>
      </c>
      <c r="G47">
        <v>80</v>
      </c>
      <c r="Q47">
        <f t="shared" si="0"/>
        <v>250</v>
      </c>
    </row>
    <row r="48" spans="1:17" x14ac:dyDescent="0.25">
      <c r="A48" t="s">
        <v>74</v>
      </c>
      <c r="B48" t="s">
        <v>75</v>
      </c>
      <c r="C48" t="s">
        <v>175</v>
      </c>
      <c r="D48" t="s">
        <v>176</v>
      </c>
      <c r="E48">
        <v>20</v>
      </c>
      <c r="F48">
        <v>20</v>
      </c>
      <c r="G48">
        <v>20</v>
      </c>
      <c r="Q48">
        <f t="shared" si="0"/>
        <v>60</v>
      </c>
    </row>
    <row r="49" spans="1:17" x14ac:dyDescent="0.25">
      <c r="A49" t="s">
        <v>74</v>
      </c>
      <c r="B49" t="s">
        <v>75</v>
      </c>
      <c r="C49" t="s">
        <v>168</v>
      </c>
      <c r="D49" t="s">
        <v>169</v>
      </c>
      <c r="E49">
        <v>0</v>
      </c>
      <c r="F49">
        <v>0</v>
      </c>
      <c r="G49">
        <v>0</v>
      </c>
      <c r="Q49">
        <f t="shared" si="0"/>
        <v>0</v>
      </c>
    </row>
    <row r="50" spans="1:17" x14ac:dyDescent="0.25">
      <c r="A50" t="s">
        <v>77</v>
      </c>
      <c r="B50" t="s">
        <v>78</v>
      </c>
      <c r="C50" t="s">
        <v>159</v>
      </c>
      <c r="D50" t="s">
        <v>160</v>
      </c>
      <c r="E50">
        <v>80</v>
      </c>
      <c r="F50">
        <v>70</v>
      </c>
      <c r="G50">
        <v>80</v>
      </c>
      <c r="Q50">
        <f t="shared" si="0"/>
        <v>230</v>
      </c>
    </row>
    <row r="51" spans="1:17" x14ac:dyDescent="0.25">
      <c r="A51" t="s">
        <v>77</v>
      </c>
      <c r="B51" t="s">
        <v>78</v>
      </c>
      <c r="C51" t="s">
        <v>144</v>
      </c>
      <c r="D51" t="s">
        <v>145</v>
      </c>
      <c r="E51">
        <v>40</v>
      </c>
      <c r="F51">
        <v>50</v>
      </c>
      <c r="G51">
        <v>40</v>
      </c>
      <c r="Q51">
        <f t="shared" si="0"/>
        <v>130</v>
      </c>
    </row>
    <row r="52" spans="1:17" x14ac:dyDescent="0.25">
      <c r="A52" t="s">
        <v>77</v>
      </c>
      <c r="B52" t="s">
        <v>78</v>
      </c>
      <c r="C52" t="s">
        <v>177</v>
      </c>
      <c r="D52" t="s">
        <v>178</v>
      </c>
      <c r="E52">
        <v>20</v>
      </c>
      <c r="F52">
        <v>20</v>
      </c>
      <c r="G52">
        <v>20</v>
      </c>
      <c r="Q52">
        <f t="shared" si="0"/>
        <v>60</v>
      </c>
    </row>
    <row r="53" spans="1:17" x14ac:dyDescent="0.25">
      <c r="A53" t="s">
        <v>77</v>
      </c>
      <c r="B53" t="s">
        <v>78</v>
      </c>
      <c r="C53" t="s">
        <v>168</v>
      </c>
      <c r="D53" t="s">
        <v>169</v>
      </c>
      <c r="E53">
        <v>20</v>
      </c>
      <c r="F53">
        <v>20</v>
      </c>
      <c r="G53">
        <v>20</v>
      </c>
      <c r="Q53">
        <f t="shared" si="0"/>
        <v>60</v>
      </c>
    </row>
    <row r="54" spans="1:17" x14ac:dyDescent="0.25">
      <c r="A54" t="s">
        <v>80</v>
      </c>
      <c r="B54" t="s">
        <v>81</v>
      </c>
      <c r="C54" t="s">
        <v>129</v>
      </c>
      <c r="D54" t="s">
        <v>130</v>
      </c>
      <c r="E54">
        <v>80</v>
      </c>
      <c r="F54">
        <v>80</v>
      </c>
      <c r="G54">
        <v>80</v>
      </c>
      <c r="Q54">
        <f t="shared" si="0"/>
        <v>240</v>
      </c>
    </row>
    <row r="55" spans="1:17" x14ac:dyDescent="0.25">
      <c r="A55" t="s">
        <v>80</v>
      </c>
      <c r="B55" t="s">
        <v>81</v>
      </c>
      <c r="C55" t="s">
        <v>179</v>
      </c>
      <c r="D55" t="s">
        <v>180</v>
      </c>
      <c r="E55">
        <v>60</v>
      </c>
      <c r="F55">
        <v>60</v>
      </c>
      <c r="G55">
        <v>60</v>
      </c>
      <c r="Q55">
        <f t="shared" si="0"/>
        <v>180</v>
      </c>
    </row>
    <row r="56" spans="1:17" x14ac:dyDescent="0.25">
      <c r="A56" t="s">
        <v>80</v>
      </c>
      <c r="B56" t="s">
        <v>81</v>
      </c>
      <c r="C56" t="s">
        <v>168</v>
      </c>
      <c r="D56" t="s">
        <v>169</v>
      </c>
      <c r="E56">
        <v>20</v>
      </c>
      <c r="F56">
        <v>20</v>
      </c>
      <c r="G56">
        <v>20</v>
      </c>
      <c r="Q56">
        <f t="shared" si="0"/>
        <v>60</v>
      </c>
    </row>
    <row r="57" spans="1:17" x14ac:dyDescent="0.25">
      <c r="A57" t="s">
        <v>82</v>
      </c>
      <c r="B57" t="s">
        <v>83</v>
      </c>
      <c r="C57" t="s">
        <v>132</v>
      </c>
      <c r="D57" t="s">
        <v>133</v>
      </c>
      <c r="E57">
        <v>70</v>
      </c>
      <c r="F57">
        <v>60</v>
      </c>
      <c r="G57">
        <v>70</v>
      </c>
      <c r="Q57">
        <f t="shared" si="0"/>
        <v>200</v>
      </c>
    </row>
    <row r="58" spans="1:17" x14ac:dyDescent="0.25">
      <c r="A58" t="s">
        <v>82</v>
      </c>
      <c r="B58" t="s">
        <v>83</v>
      </c>
      <c r="C58" t="s">
        <v>136</v>
      </c>
      <c r="D58" t="s">
        <v>137</v>
      </c>
      <c r="E58">
        <v>50</v>
      </c>
      <c r="F58">
        <v>60</v>
      </c>
      <c r="G58">
        <v>50</v>
      </c>
      <c r="Q58">
        <f t="shared" si="0"/>
        <v>160</v>
      </c>
    </row>
    <row r="59" spans="1:17" x14ac:dyDescent="0.25">
      <c r="A59" t="s">
        <v>82</v>
      </c>
      <c r="B59" t="s">
        <v>83</v>
      </c>
      <c r="C59" t="s">
        <v>175</v>
      </c>
      <c r="D59" t="s">
        <v>176</v>
      </c>
      <c r="E59">
        <v>20</v>
      </c>
      <c r="F59">
        <v>20</v>
      </c>
      <c r="G59">
        <v>20</v>
      </c>
      <c r="Q59">
        <f t="shared" si="0"/>
        <v>60</v>
      </c>
    </row>
    <row r="60" spans="1:17" x14ac:dyDescent="0.25">
      <c r="A60" t="s">
        <v>82</v>
      </c>
      <c r="B60" t="s">
        <v>83</v>
      </c>
      <c r="C60" t="s">
        <v>168</v>
      </c>
      <c r="D60" t="s">
        <v>169</v>
      </c>
      <c r="E60">
        <v>20</v>
      </c>
      <c r="F60">
        <v>20</v>
      </c>
      <c r="G60">
        <v>20</v>
      </c>
      <c r="Q60">
        <f t="shared" si="0"/>
        <v>60</v>
      </c>
    </row>
    <row r="61" spans="1:17" x14ac:dyDescent="0.25">
      <c r="A61" t="s">
        <v>84</v>
      </c>
      <c r="B61" t="s">
        <v>85</v>
      </c>
      <c r="C61" t="s">
        <v>149</v>
      </c>
      <c r="D61" t="s">
        <v>150</v>
      </c>
      <c r="E61">
        <v>80</v>
      </c>
      <c r="F61">
        <v>90</v>
      </c>
      <c r="G61">
        <v>80</v>
      </c>
      <c r="Q61">
        <f t="shared" si="0"/>
        <v>250</v>
      </c>
    </row>
    <row r="62" spans="1:17" x14ac:dyDescent="0.25">
      <c r="A62" t="s">
        <v>84</v>
      </c>
      <c r="B62" t="s">
        <v>85</v>
      </c>
      <c r="C62" t="s">
        <v>172</v>
      </c>
      <c r="D62" t="s">
        <v>173</v>
      </c>
      <c r="E62">
        <v>60</v>
      </c>
      <c r="F62">
        <v>50</v>
      </c>
      <c r="G62">
        <v>60</v>
      </c>
      <c r="Q62">
        <f t="shared" si="0"/>
        <v>170</v>
      </c>
    </row>
    <row r="63" spans="1:17" x14ac:dyDescent="0.25">
      <c r="A63" t="s">
        <v>84</v>
      </c>
      <c r="B63" t="s">
        <v>85</v>
      </c>
      <c r="C63" t="s">
        <v>168</v>
      </c>
      <c r="D63" t="s">
        <v>169</v>
      </c>
      <c r="E63">
        <v>20</v>
      </c>
      <c r="F63">
        <v>20</v>
      </c>
      <c r="G63">
        <v>20</v>
      </c>
      <c r="Q63">
        <f t="shared" si="0"/>
        <v>60</v>
      </c>
    </row>
    <row r="64" spans="1:17" x14ac:dyDescent="0.25">
      <c r="A64" t="s">
        <v>88</v>
      </c>
      <c r="B64" t="s">
        <v>89</v>
      </c>
      <c r="C64" t="s">
        <v>123</v>
      </c>
      <c r="D64" t="s">
        <v>124</v>
      </c>
      <c r="E64">
        <v>40</v>
      </c>
      <c r="F64">
        <v>50</v>
      </c>
      <c r="G64">
        <v>40</v>
      </c>
      <c r="Q64">
        <f t="shared" si="0"/>
        <v>130</v>
      </c>
    </row>
    <row r="65" spans="1:17" x14ac:dyDescent="0.25">
      <c r="A65" t="s">
        <v>88</v>
      </c>
      <c r="B65" t="s">
        <v>89</v>
      </c>
      <c r="C65" t="s">
        <v>162</v>
      </c>
      <c r="D65" t="s">
        <v>163</v>
      </c>
      <c r="E65">
        <v>60</v>
      </c>
      <c r="F65">
        <v>50</v>
      </c>
      <c r="G65">
        <v>60</v>
      </c>
      <c r="Q65">
        <f t="shared" si="0"/>
        <v>170</v>
      </c>
    </row>
    <row r="66" spans="1:17" x14ac:dyDescent="0.25">
      <c r="A66" t="s">
        <v>88</v>
      </c>
      <c r="B66" t="s">
        <v>89</v>
      </c>
      <c r="C66" t="s">
        <v>175</v>
      </c>
      <c r="D66" t="s">
        <v>176</v>
      </c>
      <c r="E66">
        <v>40</v>
      </c>
      <c r="F66">
        <v>40</v>
      </c>
      <c r="G66">
        <v>40</v>
      </c>
      <c r="Q66">
        <f t="shared" si="0"/>
        <v>120</v>
      </c>
    </row>
    <row r="67" spans="1:17" x14ac:dyDescent="0.25">
      <c r="A67" t="s">
        <v>88</v>
      </c>
      <c r="B67" t="s">
        <v>89</v>
      </c>
      <c r="C67" t="s">
        <v>168</v>
      </c>
      <c r="D67" t="s">
        <v>169</v>
      </c>
      <c r="E67">
        <v>20</v>
      </c>
      <c r="F67">
        <v>20</v>
      </c>
      <c r="G67">
        <v>20</v>
      </c>
      <c r="Q67">
        <f t="shared" ref="Q67:Q104" si="1">SUM(E67:P67)</f>
        <v>60</v>
      </c>
    </row>
    <row r="68" spans="1:17" x14ac:dyDescent="0.25">
      <c r="A68" t="s">
        <v>90</v>
      </c>
      <c r="B68" t="s">
        <v>91</v>
      </c>
      <c r="C68" t="s">
        <v>157</v>
      </c>
      <c r="D68" t="s">
        <v>158</v>
      </c>
      <c r="E68">
        <v>80</v>
      </c>
      <c r="F68">
        <v>70</v>
      </c>
      <c r="G68">
        <v>80</v>
      </c>
      <c r="Q68">
        <f t="shared" si="1"/>
        <v>230</v>
      </c>
    </row>
    <row r="69" spans="1:17" x14ac:dyDescent="0.25">
      <c r="A69" t="s">
        <v>90</v>
      </c>
      <c r="B69" t="s">
        <v>91</v>
      </c>
      <c r="C69" t="s">
        <v>140</v>
      </c>
      <c r="D69" t="s">
        <v>141</v>
      </c>
      <c r="E69">
        <v>40</v>
      </c>
      <c r="F69">
        <v>50</v>
      </c>
      <c r="G69">
        <v>40</v>
      </c>
      <c r="Q69">
        <f t="shared" si="1"/>
        <v>130</v>
      </c>
    </row>
    <row r="70" spans="1:17" x14ac:dyDescent="0.25">
      <c r="A70" t="s">
        <v>90</v>
      </c>
      <c r="B70" t="s">
        <v>91</v>
      </c>
      <c r="C70" t="s">
        <v>175</v>
      </c>
      <c r="D70" t="s">
        <v>176</v>
      </c>
      <c r="E70">
        <v>20</v>
      </c>
      <c r="F70">
        <v>20</v>
      </c>
      <c r="G70">
        <v>20</v>
      </c>
      <c r="Q70">
        <f t="shared" si="1"/>
        <v>60</v>
      </c>
    </row>
    <row r="71" spans="1:17" x14ac:dyDescent="0.25">
      <c r="A71" t="s">
        <v>90</v>
      </c>
      <c r="B71" t="s">
        <v>91</v>
      </c>
      <c r="C71" t="s">
        <v>168</v>
      </c>
      <c r="D71" t="s">
        <v>169</v>
      </c>
      <c r="E71">
        <v>20</v>
      </c>
      <c r="F71">
        <v>20</v>
      </c>
      <c r="G71">
        <v>20</v>
      </c>
      <c r="Q71">
        <f t="shared" si="1"/>
        <v>60</v>
      </c>
    </row>
    <row r="72" spans="1:17" x14ac:dyDescent="0.25">
      <c r="A72" t="s">
        <v>92</v>
      </c>
      <c r="B72" t="s">
        <v>93</v>
      </c>
      <c r="C72" t="s">
        <v>181</v>
      </c>
      <c r="D72" t="s">
        <v>182</v>
      </c>
      <c r="E72">
        <v>60</v>
      </c>
      <c r="F72">
        <v>50</v>
      </c>
      <c r="G72">
        <v>60</v>
      </c>
      <c r="Q72">
        <f t="shared" si="1"/>
        <v>170</v>
      </c>
    </row>
    <row r="73" spans="1:17" x14ac:dyDescent="0.25">
      <c r="A73" t="s">
        <v>92</v>
      </c>
      <c r="B73" t="s">
        <v>93</v>
      </c>
      <c r="C73" t="s">
        <v>177</v>
      </c>
      <c r="D73" t="s">
        <v>178</v>
      </c>
      <c r="E73">
        <v>40</v>
      </c>
      <c r="F73">
        <v>50</v>
      </c>
      <c r="G73">
        <v>40</v>
      </c>
      <c r="Q73">
        <f t="shared" si="1"/>
        <v>130</v>
      </c>
    </row>
    <row r="74" spans="1:17" x14ac:dyDescent="0.25">
      <c r="A74" t="s">
        <v>92</v>
      </c>
      <c r="B74" t="s">
        <v>93</v>
      </c>
      <c r="C74" t="s">
        <v>175</v>
      </c>
      <c r="D74" t="s">
        <v>176</v>
      </c>
      <c r="E74">
        <v>40</v>
      </c>
      <c r="F74">
        <v>40</v>
      </c>
      <c r="G74">
        <v>40</v>
      </c>
      <c r="Q74">
        <f t="shared" si="1"/>
        <v>120</v>
      </c>
    </row>
    <row r="75" spans="1:17" x14ac:dyDescent="0.25">
      <c r="A75" t="s">
        <v>92</v>
      </c>
      <c r="B75" t="s">
        <v>93</v>
      </c>
      <c r="C75" t="s">
        <v>168</v>
      </c>
      <c r="D75" t="s">
        <v>169</v>
      </c>
      <c r="E75">
        <v>20</v>
      </c>
      <c r="F75">
        <v>20</v>
      </c>
      <c r="G75">
        <v>20</v>
      </c>
      <c r="Q75">
        <f t="shared" si="1"/>
        <v>60</v>
      </c>
    </row>
    <row r="76" spans="1:17" x14ac:dyDescent="0.25">
      <c r="A76" t="s">
        <v>96</v>
      </c>
      <c r="B76" t="s">
        <v>97</v>
      </c>
      <c r="C76" t="s">
        <v>144</v>
      </c>
      <c r="D76" t="s">
        <v>145</v>
      </c>
      <c r="E76">
        <v>60</v>
      </c>
      <c r="F76">
        <v>70</v>
      </c>
      <c r="G76">
        <v>60</v>
      </c>
      <c r="Q76">
        <f t="shared" si="1"/>
        <v>190</v>
      </c>
    </row>
    <row r="77" spans="1:17" x14ac:dyDescent="0.25">
      <c r="A77" t="s">
        <v>96</v>
      </c>
      <c r="B77" t="s">
        <v>97</v>
      </c>
      <c r="C77" t="s">
        <v>147</v>
      </c>
      <c r="D77" t="s">
        <v>148</v>
      </c>
      <c r="E77">
        <v>60</v>
      </c>
      <c r="F77">
        <v>50</v>
      </c>
      <c r="G77">
        <v>60</v>
      </c>
      <c r="Q77">
        <f t="shared" si="1"/>
        <v>170</v>
      </c>
    </row>
    <row r="78" spans="1:17" x14ac:dyDescent="0.25">
      <c r="A78" t="s">
        <v>96</v>
      </c>
      <c r="B78" t="s">
        <v>97</v>
      </c>
      <c r="C78" t="s">
        <v>177</v>
      </c>
      <c r="D78" t="s">
        <v>178</v>
      </c>
      <c r="E78">
        <v>20</v>
      </c>
      <c r="F78">
        <v>20</v>
      </c>
      <c r="G78">
        <v>20</v>
      </c>
      <c r="Q78">
        <f t="shared" si="1"/>
        <v>60</v>
      </c>
    </row>
    <row r="79" spans="1:17" x14ac:dyDescent="0.25">
      <c r="A79" t="s">
        <v>96</v>
      </c>
      <c r="B79" t="s">
        <v>97</v>
      </c>
      <c r="C79" t="s">
        <v>168</v>
      </c>
      <c r="D79" t="s">
        <v>169</v>
      </c>
      <c r="E79">
        <v>20</v>
      </c>
      <c r="F79">
        <v>20</v>
      </c>
      <c r="G79">
        <v>20</v>
      </c>
      <c r="Q79">
        <f t="shared" si="1"/>
        <v>60</v>
      </c>
    </row>
    <row r="80" spans="1:17" x14ac:dyDescent="0.25">
      <c r="A80" t="s">
        <v>98</v>
      </c>
      <c r="B80" t="s">
        <v>99</v>
      </c>
      <c r="C80" t="s">
        <v>152</v>
      </c>
      <c r="D80" t="s">
        <v>153</v>
      </c>
      <c r="E80">
        <v>80</v>
      </c>
      <c r="F80">
        <v>80</v>
      </c>
      <c r="G80">
        <v>80</v>
      </c>
      <c r="Q80">
        <f t="shared" si="1"/>
        <v>240</v>
      </c>
    </row>
    <row r="81" spans="1:17" x14ac:dyDescent="0.25">
      <c r="A81" t="s">
        <v>98</v>
      </c>
      <c r="B81" t="s">
        <v>99</v>
      </c>
      <c r="C81" t="s">
        <v>172</v>
      </c>
      <c r="D81" t="s">
        <v>173</v>
      </c>
      <c r="E81">
        <v>40</v>
      </c>
      <c r="F81">
        <v>40</v>
      </c>
      <c r="G81">
        <v>40</v>
      </c>
      <c r="Q81">
        <f t="shared" si="1"/>
        <v>120</v>
      </c>
    </row>
    <row r="82" spans="1:17" x14ac:dyDescent="0.25">
      <c r="A82" t="s">
        <v>98</v>
      </c>
      <c r="B82" t="s">
        <v>99</v>
      </c>
      <c r="C82" t="s">
        <v>175</v>
      </c>
      <c r="D82" t="s">
        <v>176</v>
      </c>
      <c r="E82">
        <v>20</v>
      </c>
      <c r="F82">
        <v>20</v>
      </c>
      <c r="G82">
        <v>20</v>
      </c>
      <c r="Q82">
        <f t="shared" si="1"/>
        <v>60</v>
      </c>
    </row>
    <row r="83" spans="1:17" x14ac:dyDescent="0.25">
      <c r="A83" t="s">
        <v>98</v>
      </c>
      <c r="B83" t="s">
        <v>99</v>
      </c>
      <c r="C83" t="s">
        <v>168</v>
      </c>
      <c r="D83" t="s">
        <v>169</v>
      </c>
      <c r="E83">
        <v>20</v>
      </c>
      <c r="F83">
        <v>20</v>
      </c>
      <c r="G83">
        <v>20</v>
      </c>
      <c r="Q83">
        <f t="shared" si="1"/>
        <v>60</v>
      </c>
    </row>
    <row r="84" spans="1:17" x14ac:dyDescent="0.25">
      <c r="A84" t="s">
        <v>102</v>
      </c>
      <c r="B84" t="s">
        <v>103</v>
      </c>
      <c r="C84" t="s">
        <v>155</v>
      </c>
      <c r="D84" t="s">
        <v>156</v>
      </c>
      <c r="E84">
        <v>70</v>
      </c>
      <c r="F84">
        <v>60</v>
      </c>
      <c r="G84">
        <v>70</v>
      </c>
      <c r="Q84">
        <f t="shared" si="1"/>
        <v>200</v>
      </c>
    </row>
    <row r="85" spans="1:17" x14ac:dyDescent="0.25">
      <c r="A85" t="s">
        <v>102</v>
      </c>
      <c r="B85" t="s">
        <v>103</v>
      </c>
      <c r="C85" t="s">
        <v>129</v>
      </c>
      <c r="D85" t="s">
        <v>130</v>
      </c>
      <c r="E85">
        <v>50</v>
      </c>
      <c r="F85">
        <v>60</v>
      </c>
      <c r="G85">
        <v>50</v>
      </c>
      <c r="Q85">
        <f t="shared" si="1"/>
        <v>160</v>
      </c>
    </row>
    <row r="86" spans="1:17" x14ac:dyDescent="0.25">
      <c r="A86" t="s">
        <v>102</v>
      </c>
      <c r="B86" t="s">
        <v>103</v>
      </c>
      <c r="C86" t="s">
        <v>179</v>
      </c>
      <c r="D86" t="s">
        <v>180</v>
      </c>
      <c r="E86">
        <v>20</v>
      </c>
      <c r="F86">
        <v>20</v>
      </c>
      <c r="G86">
        <v>20</v>
      </c>
      <c r="Q86">
        <f t="shared" si="1"/>
        <v>60</v>
      </c>
    </row>
    <row r="87" spans="1:17" x14ac:dyDescent="0.25">
      <c r="A87" t="s">
        <v>102</v>
      </c>
      <c r="B87" t="s">
        <v>103</v>
      </c>
      <c r="C87" t="s">
        <v>168</v>
      </c>
      <c r="D87" t="s">
        <v>169</v>
      </c>
      <c r="E87">
        <v>20</v>
      </c>
      <c r="F87">
        <v>20</v>
      </c>
      <c r="G87">
        <v>20</v>
      </c>
      <c r="Q87">
        <f t="shared" si="1"/>
        <v>60</v>
      </c>
    </row>
    <row r="88" spans="1:17" x14ac:dyDescent="0.25">
      <c r="A88" t="s">
        <v>105</v>
      </c>
      <c r="B88" t="s">
        <v>106</v>
      </c>
      <c r="C88" t="s">
        <v>165</v>
      </c>
      <c r="D88" t="s">
        <v>166</v>
      </c>
      <c r="E88">
        <v>100</v>
      </c>
      <c r="F88">
        <v>90</v>
      </c>
      <c r="G88">
        <v>100</v>
      </c>
      <c r="Q88">
        <f t="shared" si="1"/>
        <v>290</v>
      </c>
    </row>
    <row r="89" spans="1:17" x14ac:dyDescent="0.25">
      <c r="A89" t="s">
        <v>105</v>
      </c>
      <c r="B89" t="s">
        <v>106</v>
      </c>
      <c r="C89" t="s">
        <v>172</v>
      </c>
      <c r="D89" t="s">
        <v>173</v>
      </c>
      <c r="E89">
        <v>40</v>
      </c>
      <c r="F89">
        <v>70</v>
      </c>
      <c r="G89">
        <v>60</v>
      </c>
      <c r="Q89">
        <f t="shared" si="1"/>
        <v>170</v>
      </c>
    </row>
    <row r="90" spans="1:17" x14ac:dyDescent="0.25">
      <c r="A90" t="s">
        <v>105</v>
      </c>
      <c r="B90" t="s">
        <v>106</v>
      </c>
      <c r="C90" t="s">
        <v>168</v>
      </c>
      <c r="D90" t="s">
        <v>169</v>
      </c>
      <c r="E90">
        <v>20</v>
      </c>
      <c r="F90">
        <v>0</v>
      </c>
      <c r="G90">
        <v>0</v>
      </c>
      <c r="Q90">
        <f t="shared" si="1"/>
        <v>20</v>
      </c>
    </row>
    <row r="91" spans="1:17" x14ac:dyDescent="0.25">
      <c r="A91" t="s">
        <v>107</v>
      </c>
      <c r="B91" t="s">
        <v>108</v>
      </c>
      <c r="C91" t="s">
        <v>140</v>
      </c>
      <c r="D91" t="s">
        <v>141</v>
      </c>
      <c r="E91">
        <v>60</v>
      </c>
      <c r="F91">
        <v>70</v>
      </c>
      <c r="G91">
        <v>60</v>
      </c>
      <c r="Q91">
        <f t="shared" si="1"/>
        <v>190</v>
      </c>
    </row>
    <row r="92" spans="1:17" x14ac:dyDescent="0.25">
      <c r="A92" t="s">
        <v>107</v>
      </c>
      <c r="B92" t="s">
        <v>108</v>
      </c>
      <c r="C92" t="s">
        <v>157</v>
      </c>
      <c r="D92" t="s">
        <v>158</v>
      </c>
      <c r="E92">
        <v>60</v>
      </c>
      <c r="F92">
        <v>70</v>
      </c>
      <c r="G92">
        <v>80</v>
      </c>
      <c r="Q92">
        <f t="shared" si="1"/>
        <v>210</v>
      </c>
    </row>
    <row r="93" spans="1:17" x14ac:dyDescent="0.25">
      <c r="A93" t="s">
        <v>107</v>
      </c>
      <c r="B93" t="s">
        <v>108</v>
      </c>
      <c r="C93" t="s">
        <v>175</v>
      </c>
      <c r="D93" t="s">
        <v>176</v>
      </c>
      <c r="E93">
        <v>20</v>
      </c>
      <c r="F93">
        <v>20</v>
      </c>
      <c r="G93">
        <v>20</v>
      </c>
      <c r="Q93">
        <f t="shared" si="1"/>
        <v>60</v>
      </c>
    </row>
    <row r="94" spans="1:17" x14ac:dyDescent="0.25">
      <c r="A94" t="s">
        <v>107</v>
      </c>
      <c r="B94" t="s">
        <v>108</v>
      </c>
      <c r="C94" t="s">
        <v>168</v>
      </c>
      <c r="D94" t="s">
        <v>169</v>
      </c>
      <c r="E94">
        <v>20</v>
      </c>
      <c r="F94">
        <v>0</v>
      </c>
      <c r="G94">
        <v>0</v>
      </c>
      <c r="Q94">
        <f t="shared" si="1"/>
        <v>20</v>
      </c>
    </row>
    <row r="95" spans="1:17" x14ac:dyDescent="0.25">
      <c r="A95" t="s">
        <v>110</v>
      </c>
      <c r="B95" t="s">
        <v>111</v>
      </c>
      <c r="C95" t="s">
        <v>123</v>
      </c>
      <c r="D95" t="s">
        <v>124</v>
      </c>
      <c r="E95">
        <v>80</v>
      </c>
      <c r="F95">
        <v>70</v>
      </c>
      <c r="G95">
        <v>80</v>
      </c>
      <c r="Q95">
        <f t="shared" si="1"/>
        <v>230</v>
      </c>
    </row>
    <row r="96" spans="1:17" x14ac:dyDescent="0.25">
      <c r="A96" t="s">
        <v>110</v>
      </c>
      <c r="B96" t="s">
        <v>111</v>
      </c>
      <c r="C96" t="s">
        <v>179</v>
      </c>
      <c r="D96" t="s">
        <v>180</v>
      </c>
      <c r="E96">
        <v>60</v>
      </c>
      <c r="F96">
        <v>70</v>
      </c>
      <c r="G96">
        <v>60</v>
      </c>
      <c r="Q96">
        <f t="shared" si="1"/>
        <v>190</v>
      </c>
    </row>
    <row r="97" spans="1:17" x14ac:dyDescent="0.25">
      <c r="A97" t="s">
        <v>110</v>
      </c>
      <c r="B97" t="s">
        <v>111</v>
      </c>
      <c r="C97" t="s">
        <v>168</v>
      </c>
      <c r="D97" t="s">
        <v>169</v>
      </c>
      <c r="E97">
        <v>20</v>
      </c>
      <c r="F97">
        <v>20</v>
      </c>
      <c r="G97">
        <v>20</v>
      </c>
      <c r="Q97">
        <f t="shared" si="1"/>
        <v>60</v>
      </c>
    </row>
    <row r="98" spans="1:17" x14ac:dyDescent="0.25">
      <c r="A98" t="s">
        <v>113</v>
      </c>
      <c r="B98" t="s">
        <v>114</v>
      </c>
      <c r="C98" t="s">
        <v>159</v>
      </c>
      <c r="D98" t="s">
        <v>160</v>
      </c>
      <c r="E98">
        <v>80</v>
      </c>
      <c r="F98">
        <v>90</v>
      </c>
      <c r="G98">
        <v>80</v>
      </c>
      <c r="Q98">
        <f t="shared" si="1"/>
        <v>250</v>
      </c>
    </row>
    <row r="99" spans="1:17" x14ac:dyDescent="0.25">
      <c r="A99" t="s">
        <v>113</v>
      </c>
      <c r="B99" t="s">
        <v>114</v>
      </c>
      <c r="C99" t="s">
        <v>165</v>
      </c>
      <c r="D99" t="s">
        <v>166</v>
      </c>
      <c r="E99">
        <v>60</v>
      </c>
      <c r="F99">
        <v>50</v>
      </c>
      <c r="G99">
        <v>60</v>
      </c>
      <c r="Q99">
        <f t="shared" si="1"/>
        <v>170</v>
      </c>
    </row>
    <row r="100" spans="1:17" x14ac:dyDescent="0.25">
      <c r="A100" t="s">
        <v>113</v>
      </c>
      <c r="B100" t="s">
        <v>114</v>
      </c>
      <c r="C100" t="s">
        <v>168</v>
      </c>
      <c r="D100" t="s">
        <v>169</v>
      </c>
      <c r="E100">
        <v>20</v>
      </c>
      <c r="F100">
        <v>20</v>
      </c>
      <c r="G100">
        <v>20</v>
      </c>
      <c r="Q100">
        <f t="shared" si="1"/>
        <v>60</v>
      </c>
    </row>
    <row r="101" spans="1:17" x14ac:dyDescent="0.25">
      <c r="A101" t="s">
        <v>115</v>
      </c>
      <c r="B101" t="s">
        <v>116</v>
      </c>
      <c r="C101" t="s">
        <v>147</v>
      </c>
      <c r="D101" t="s">
        <v>148</v>
      </c>
      <c r="E101">
        <v>50</v>
      </c>
      <c r="F101">
        <v>60</v>
      </c>
      <c r="G101">
        <v>50</v>
      </c>
      <c r="Q101">
        <f t="shared" si="1"/>
        <v>160</v>
      </c>
    </row>
    <row r="102" spans="1:17" x14ac:dyDescent="0.25">
      <c r="A102" t="s">
        <v>115</v>
      </c>
      <c r="B102" t="s">
        <v>116</v>
      </c>
      <c r="C102" t="s">
        <v>162</v>
      </c>
      <c r="D102" t="s">
        <v>163</v>
      </c>
      <c r="E102">
        <v>50</v>
      </c>
      <c r="F102">
        <v>40</v>
      </c>
      <c r="G102">
        <v>50</v>
      </c>
      <c r="Q102">
        <f t="shared" si="1"/>
        <v>140</v>
      </c>
    </row>
    <row r="103" spans="1:17" x14ac:dyDescent="0.25">
      <c r="A103" t="s">
        <v>115</v>
      </c>
      <c r="B103" t="s">
        <v>116</v>
      </c>
      <c r="C103" t="s">
        <v>177</v>
      </c>
      <c r="D103" t="s">
        <v>178</v>
      </c>
      <c r="E103">
        <v>40</v>
      </c>
      <c r="F103">
        <v>40</v>
      </c>
      <c r="G103">
        <v>40</v>
      </c>
      <c r="Q103">
        <f t="shared" si="1"/>
        <v>120</v>
      </c>
    </row>
    <row r="104" spans="1:17" x14ac:dyDescent="0.25">
      <c r="A104" t="s">
        <v>115</v>
      </c>
      <c r="B104" t="s">
        <v>116</v>
      </c>
      <c r="C104" t="s">
        <v>168</v>
      </c>
      <c r="D104" t="s">
        <v>169</v>
      </c>
      <c r="E104">
        <v>20</v>
      </c>
      <c r="F104">
        <v>20</v>
      </c>
      <c r="G104">
        <v>20</v>
      </c>
      <c r="Q104">
        <f t="shared" si="1"/>
        <v>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6"/>
  <sheetViews>
    <sheetView workbookViewId="0">
      <selection activeCell="P2" sqref="P2:P46"/>
    </sheetView>
  </sheetViews>
  <sheetFormatPr defaultRowHeight="15" x14ac:dyDescent="0.25"/>
  <cols>
    <col min="1" max="1" width="16" customWidth="1"/>
    <col min="2" max="2" width="13" customWidth="1"/>
    <col min="3" max="3" width="19" customWidth="1"/>
    <col min="4" max="16" width="9.7109375" customWidth="1"/>
  </cols>
  <sheetData>
    <row r="1" spans="1:16" x14ac:dyDescent="0.25">
      <c r="A1" s="1" t="s">
        <v>196</v>
      </c>
      <c r="B1" s="1" t="s">
        <v>0</v>
      </c>
      <c r="C1" s="1" t="s">
        <v>1</v>
      </c>
      <c r="D1" s="1" t="s">
        <v>183</v>
      </c>
      <c r="E1" s="1" t="s">
        <v>184</v>
      </c>
      <c r="F1" s="1" t="s">
        <v>185</v>
      </c>
      <c r="G1" s="1" t="s">
        <v>186</v>
      </c>
      <c r="H1" s="1" t="s">
        <v>187</v>
      </c>
      <c r="I1" s="1" t="s">
        <v>188</v>
      </c>
      <c r="J1" s="1" t="s">
        <v>189</v>
      </c>
      <c r="K1" s="1" t="s">
        <v>190</v>
      </c>
      <c r="L1" s="1" t="s">
        <v>191</v>
      </c>
      <c r="M1" s="1" t="s">
        <v>192</v>
      </c>
      <c r="N1" s="1" t="s">
        <v>193</v>
      </c>
      <c r="O1" s="1" t="s">
        <v>194</v>
      </c>
      <c r="P1" s="1" t="s">
        <v>195</v>
      </c>
    </row>
    <row r="2" spans="1:16" x14ac:dyDescent="0.25">
      <c r="A2" t="s">
        <v>197</v>
      </c>
      <c r="B2" t="s">
        <v>42</v>
      </c>
      <c r="C2" t="s">
        <v>43</v>
      </c>
      <c r="D2" s="2">
        <v>4250</v>
      </c>
      <c r="E2" s="2">
        <v>3980</v>
      </c>
      <c r="F2" s="2">
        <v>4510</v>
      </c>
      <c r="P2" s="2">
        <f>SUM(D2:O2)</f>
        <v>12740</v>
      </c>
    </row>
    <row r="3" spans="1:16" x14ac:dyDescent="0.25">
      <c r="A3" t="s">
        <v>198</v>
      </c>
      <c r="B3" t="s">
        <v>96</v>
      </c>
      <c r="C3" t="s">
        <v>97</v>
      </c>
      <c r="D3" s="2">
        <v>2100</v>
      </c>
      <c r="E3" s="2">
        <v>2340</v>
      </c>
      <c r="F3" s="2">
        <v>2050</v>
      </c>
      <c r="P3" s="2">
        <f t="shared" ref="P3:P46" si="0">SUM(D3:O3)</f>
        <v>6490</v>
      </c>
    </row>
    <row r="4" spans="1:16" x14ac:dyDescent="0.25">
      <c r="A4" t="s">
        <v>199</v>
      </c>
      <c r="B4" t="s">
        <v>10</v>
      </c>
      <c r="C4" t="s">
        <v>11</v>
      </c>
      <c r="D4" s="2">
        <v>8750</v>
      </c>
      <c r="E4" s="2">
        <v>9100</v>
      </c>
      <c r="F4" s="2">
        <v>8420</v>
      </c>
      <c r="P4" s="2">
        <f t="shared" si="0"/>
        <v>26270</v>
      </c>
    </row>
    <row r="5" spans="1:16" x14ac:dyDescent="0.25">
      <c r="A5" t="s">
        <v>200</v>
      </c>
      <c r="B5" t="s">
        <v>77</v>
      </c>
      <c r="C5" t="s">
        <v>78</v>
      </c>
      <c r="D5" s="2">
        <v>3600</v>
      </c>
      <c r="E5" s="2">
        <v>3450</v>
      </c>
      <c r="F5" s="2">
        <v>3820</v>
      </c>
      <c r="P5" s="2">
        <f t="shared" si="0"/>
        <v>10870</v>
      </c>
    </row>
    <row r="6" spans="1:16" x14ac:dyDescent="0.25">
      <c r="A6" t="s">
        <v>201</v>
      </c>
      <c r="B6" t="s">
        <v>38</v>
      </c>
      <c r="C6" t="s">
        <v>39</v>
      </c>
      <c r="D6" s="2">
        <v>5200</v>
      </c>
      <c r="E6" s="2">
        <v>4980</v>
      </c>
      <c r="F6" s="2">
        <v>5340</v>
      </c>
      <c r="P6" s="2">
        <f t="shared" si="0"/>
        <v>15520</v>
      </c>
    </row>
    <row r="7" spans="1:16" x14ac:dyDescent="0.25">
      <c r="A7" t="s">
        <v>202</v>
      </c>
      <c r="B7" t="s">
        <v>90</v>
      </c>
      <c r="C7" t="s">
        <v>91</v>
      </c>
      <c r="D7" s="2">
        <v>6800</v>
      </c>
      <c r="E7" s="2">
        <v>7100</v>
      </c>
      <c r="F7" s="2">
        <v>6550</v>
      </c>
      <c r="P7" s="2">
        <f t="shared" si="0"/>
        <v>20450</v>
      </c>
    </row>
    <row r="8" spans="1:16" x14ac:dyDescent="0.25">
      <c r="A8" t="s">
        <v>203</v>
      </c>
      <c r="B8" t="s">
        <v>19</v>
      </c>
      <c r="C8" t="s">
        <v>20</v>
      </c>
      <c r="D8" s="2">
        <v>1950</v>
      </c>
      <c r="E8" s="2">
        <v>2100</v>
      </c>
      <c r="F8" s="2">
        <v>1880</v>
      </c>
      <c r="P8" s="2">
        <f t="shared" si="0"/>
        <v>5930</v>
      </c>
    </row>
    <row r="9" spans="1:16" x14ac:dyDescent="0.25">
      <c r="A9" t="s">
        <v>204</v>
      </c>
      <c r="B9" t="s">
        <v>72</v>
      </c>
      <c r="C9" t="s">
        <v>73</v>
      </c>
      <c r="D9" s="2">
        <v>3300</v>
      </c>
      <c r="E9" s="2">
        <v>3150</v>
      </c>
      <c r="F9" s="2">
        <v>3480</v>
      </c>
      <c r="P9" s="2">
        <f t="shared" si="0"/>
        <v>9930</v>
      </c>
    </row>
    <row r="10" spans="1:16" x14ac:dyDescent="0.25">
      <c r="A10" t="s">
        <v>205</v>
      </c>
      <c r="B10" t="s">
        <v>102</v>
      </c>
      <c r="C10" t="s">
        <v>103</v>
      </c>
      <c r="D10" s="2">
        <v>4100</v>
      </c>
      <c r="E10" s="2">
        <v>4350</v>
      </c>
      <c r="F10" s="2">
        <v>3950</v>
      </c>
      <c r="P10" s="2">
        <f t="shared" si="0"/>
        <v>12400</v>
      </c>
    </row>
    <row r="11" spans="1:16" x14ac:dyDescent="0.25">
      <c r="A11" t="s">
        <v>206</v>
      </c>
      <c r="B11" t="s">
        <v>24</v>
      </c>
      <c r="C11" t="s">
        <v>25</v>
      </c>
      <c r="D11" s="2">
        <v>7200</v>
      </c>
      <c r="E11" s="2">
        <v>6950</v>
      </c>
      <c r="F11" s="2">
        <v>7400</v>
      </c>
      <c r="P11" s="2">
        <f t="shared" si="0"/>
        <v>21550</v>
      </c>
    </row>
    <row r="12" spans="1:16" x14ac:dyDescent="0.25">
      <c r="A12" t="s">
        <v>207</v>
      </c>
      <c r="B12" t="s">
        <v>80</v>
      </c>
      <c r="C12" t="s">
        <v>81</v>
      </c>
      <c r="D12" s="2">
        <v>2800</v>
      </c>
      <c r="E12" s="2">
        <v>2650</v>
      </c>
      <c r="F12" s="2">
        <v>2920</v>
      </c>
      <c r="P12" s="2">
        <f t="shared" si="0"/>
        <v>8370</v>
      </c>
    </row>
    <row r="13" spans="1:16" x14ac:dyDescent="0.25">
      <c r="A13" t="s">
        <v>208</v>
      </c>
      <c r="B13" t="s">
        <v>32</v>
      </c>
      <c r="C13" t="s">
        <v>33</v>
      </c>
      <c r="D13" s="2">
        <v>5500</v>
      </c>
      <c r="E13" s="2">
        <v>5750</v>
      </c>
      <c r="F13" s="2">
        <v>5300</v>
      </c>
      <c r="P13" s="2">
        <f t="shared" si="0"/>
        <v>16550</v>
      </c>
    </row>
    <row r="14" spans="1:16" x14ac:dyDescent="0.25">
      <c r="A14" t="s">
        <v>209</v>
      </c>
      <c r="B14" t="s">
        <v>98</v>
      </c>
      <c r="C14" t="s">
        <v>99</v>
      </c>
      <c r="D14" s="2">
        <v>4600</v>
      </c>
      <c r="E14" s="2">
        <v>4800</v>
      </c>
      <c r="F14" s="2">
        <v>4450</v>
      </c>
      <c r="P14" s="2">
        <f t="shared" si="0"/>
        <v>13850</v>
      </c>
    </row>
    <row r="15" spans="1:16" x14ac:dyDescent="0.25">
      <c r="A15" t="s">
        <v>210</v>
      </c>
      <c r="B15" t="s">
        <v>52</v>
      </c>
      <c r="C15" t="s">
        <v>53</v>
      </c>
      <c r="D15" s="2">
        <v>1200</v>
      </c>
      <c r="E15" s="2">
        <v>1350</v>
      </c>
      <c r="F15" s="2">
        <v>1150</v>
      </c>
      <c r="P15" s="2">
        <f t="shared" si="0"/>
        <v>3700</v>
      </c>
    </row>
    <row r="16" spans="1:16" x14ac:dyDescent="0.25">
      <c r="A16" t="s">
        <v>211</v>
      </c>
      <c r="B16" t="s">
        <v>84</v>
      </c>
      <c r="C16" t="s">
        <v>85</v>
      </c>
      <c r="D16" s="2">
        <v>3900</v>
      </c>
      <c r="E16" s="2">
        <v>4100</v>
      </c>
      <c r="F16" s="2">
        <v>3750</v>
      </c>
      <c r="P16" s="2">
        <f t="shared" si="0"/>
        <v>11750</v>
      </c>
    </row>
    <row r="17" spans="1:16" x14ac:dyDescent="0.25">
      <c r="A17" t="s">
        <v>212</v>
      </c>
      <c r="B17" t="s">
        <v>61</v>
      </c>
      <c r="C17" t="s">
        <v>62</v>
      </c>
      <c r="D17" s="2">
        <v>2450</v>
      </c>
      <c r="E17" s="2">
        <v>2300</v>
      </c>
      <c r="F17" s="2">
        <v>2580</v>
      </c>
      <c r="P17" s="2">
        <f t="shared" si="0"/>
        <v>7330</v>
      </c>
    </row>
    <row r="18" spans="1:16" x14ac:dyDescent="0.25">
      <c r="A18" t="s">
        <v>213</v>
      </c>
      <c r="B18" t="s">
        <v>28</v>
      </c>
      <c r="C18" t="s">
        <v>29</v>
      </c>
      <c r="D18" s="2">
        <v>6100</v>
      </c>
      <c r="E18" s="2">
        <v>5850</v>
      </c>
      <c r="F18" s="2">
        <v>6300</v>
      </c>
      <c r="P18" s="2">
        <f t="shared" si="0"/>
        <v>18250</v>
      </c>
    </row>
    <row r="19" spans="1:16" x14ac:dyDescent="0.25">
      <c r="A19" t="s">
        <v>214</v>
      </c>
      <c r="B19" t="s">
        <v>113</v>
      </c>
      <c r="C19" t="s">
        <v>114</v>
      </c>
      <c r="D19" s="2">
        <v>3050</v>
      </c>
      <c r="E19" s="2">
        <v>3200</v>
      </c>
      <c r="F19" s="2">
        <v>2900</v>
      </c>
      <c r="P19" s="2">
        <f t="shared" si="0"/>
        <v>9150</v>
      </c>
    </row>
    <row r="20" spans="1:16" x14ac:dyDescent="0.25">
      <c r="A20" t="s">
        <v>215</v>
      </c>
      <c r="B20" t="s">
        <v>64</v>
      </c>
      <c r="C20" t="s">
        <v>65</v>
      </c>
      <c r="D20" s="2">
        <v>1800</v>
      </c>
      <c r="E20" s="2">
        <v>1650</v>
      </c>
      <c r="F20" s="2">
        <v>1950</v>
      </c>
      <c r="P20" s="2">
        <f t="shared" si="0"/>
        <v>5400</v>
      </c>
    </row>
    <row r="21" spans="1:16" x14ac:dyDescent="0.25">
      <c r="A21" t="s">
        <v>216</v>
      </c>
      <c r="B21" t="s">
        <v>88</v>
      </c>
      <c r="C21" t="s">
        <v>89</v>
      </c>
      <c r="D21" s="2">
        <v>5800</v>
      </c>
      <c r="E21" s="2">
        <v>6050</v>
      </c>
      <c r="F21" s="2">
        <v>5600</v>
      </c>
      <c r="P21" s="2">
        <f t="shared" si="0"/>
        <v>17450</v>
      </c>
    </row>
    <row r="22" spans="1:16" x14ac:dyDescent="0.25">
      <c r="A22" t="s">
        <v>217</v>
      </c>
      <c r="B22" t="s">
        <v>47</v>
      </c>
      <c r="C22" t="s">
        <v>48</v>
      </c>
      <c r="D22" s="2">
        <v>950</v>
      </c>
      <c r="E22" s="2">
        <v>1100</v>
      </c>
      <c r="F22" s="2">
        <v>880</v>
      </c>
      <c r="P22" s="2">
        <f t="shared" si="0"/>
        <v>2930</v>
      </c>
    </row>
    <row r="23" spans="1:16" x14ac:dyDescent="0.25">
      <c r="A23" t="s">
        <v>218</v>
      </c>
      <c r="B23" t="s">
        <v>82</v>
      </c>
      <c r="C23" t="s">
        <v>83</v>
      </c>
      <c r="D23" s="2">
        <v>4400</v>
      </c>
      <c r="E23" s="2">
        <v>4200</v>
      </c>
      <c r="F23" s="2">
        <v>4600</v>
      </c>
      <c r="P23" s="2">
        <f t="shared" si="0"/>
        <v>13200</v>
      </c>
    </row>
    <row r="24" spans="1:16" x14ac:dyDescent="0.25">
      <c r="A24" t="s">
        <v>219</v>
      </c>
      <c r="B24" t="s">
        <v>57</v>
      </c>
      <c r="C24" t="s">
        <v>58</v>
      </c>
      <c r="D24" s="2">
        <v>1500</v>
      </c>
      <c r="E24" s="2">
        <v>1350</v>
      </c>
      <c r="F24" s="2">
        <v>1620</v>
      </c>
      <c r="P24" s="2">
        <f t="shared" si="0"/>
        <v>4470</v>
      </c>
    </row>
    <row r="25" spans="1:16" x14ac:dyDescent="0.25">
      <c r="A25" t="s">
        <v>220</v>
      </c>
      <c r="B25" t="s">
        <v>92</v>
      </c>
      <c r="C25" t="s">
        <v>93</v>
      </c>
      <c r="D25" s="2">
        <v>7600</v>
      </c>
      <c r="E25" s="2">
        <v>7350</v>
      </c>
      <c r="F25" s="2">
        <v>7800</v>
      </c>
      <c r="P25" s="2">
        <f t="shared" si="0"/>
        <v>22750</v>
      </c>
    </row>
    <row r="26" spans="1:16" x14ac:dyDescent="0.25">
      <c r="A26" t="s">
        <v>221</v>
      </c>
      <c r="B26" t="s">
        <v>107</v>
      </c>
      <c r="C26" t="s">
        <v>108</v>
      </c>
      <c r="D26" s="2">
        <v>2700</v>
      </c>
      <c r="E26" s="2">
        <v>2900</v>
      </c>
      <c r="F26" s="2">
        <v>2550</v>
      </c>
      <c r="P26" s="2">
        <f t="shared" si="0"/>
        <v>8150</v>
      </c>
    </row>
    <row r="27" spans="1:16" x14ac:dyDescent="0.25">
      <c r="A27" t="s">
        <v>222</v>
      </c>
      <c r="B27" t="s">
        <v>68</v>
      </c>
      <c r="C27" t="s">
        <v>69</v>
      </c>
      <c r="D27" s="2">
        <v>3400</v>
      </c>
      <c r="E27" s="2">
        <v>3600</v>
      </c>
      <c r="F27" s="2">
        <v>3250</v>
      </c>
      <c r="P27" s="2">
        <f t="shared" si="0"/>
        <v>10250</v>
      </c>
    </row>
    <row r="28" spans="1:16" x14ac:dyDescent="0.25">
      <c r="A28" t="s">
        <v>223</v>
      </c>
      <c r="B28" t="s">
        <v>74</v>
      </c>
      <c r="C28" t="s">
        <v>75</v>
      </c>
      <c r="D28" s="2">
        <v>1100</v>
      </c>
      <c r="E28" s="2">
        <v>1250</v>
      </c>
      <c r="F28" s="2">
        <v>1050</v>
      </c>
      <c r="P28" s="2">
        <f t="shared" si="0"/>
        <v>3400</v>
      </c>
    </row>
    <row r="29" spans="1:16" x14ac:dyDescent="0.25">
      <c r="A29" t="s">
        <v>224</v>
      </c>
      <c r="B29" t="s">
        <v>105</v>
      </c>
      <c r="C29" t="s">
        <v>106</v>
      </c>
      <c r="D29" s="2">
        <v>4800</v>
      </c>
      <c r="E29" s="2">
        <v>5050</v>
      </c>
      <c r="F29" s="2">
        <v>4650</v>
      </c>
      <c r="P29" s="2">
        <f t="shared" si="0"/>
        <v>14500</v>
      </c>
    </row>
    <row r="30" spans="1:16" x14ac:dyDescent="0.25">
      <c r="A30" t="s">
        <v>225</v>
      </c>
      <c r="B30" t="s">
        <v>110</v>
      </c>
      <c r="C30" t="s">
        <v>111</v>
      </c>
      <c r="D30" s="2">
        <v>2200</v>
      </c>
      <c r="E30" s="2">
        <v>2050</v>
      </c>
      <c r="F30" s="2">
        <v>2350</v>
      </c>
      <c r="P30" s="2">
        <f t="shared" si="0"/>
        <v>6600</v>
      </c>
    </row>
    <row r="31" spans="1:16" x14ac:dyDescent="0.25">
      <c r="A31" t="s">
        <v>226</v>
      </c>
      <c r="B31" t="s">
        <v>115</v>
      </c>
      <c r="C31" t="s">
        <v>116</v>
      </c>
      <c r="D31" s="2">
        <v>850</v>
      </c>
      <c r="E31" s="2">
        <v>980</v>
      </c>
      <c r="F31" s="2">
        <v>790</v>
      </c>
      <c r="P31" s="2">
        <f t="shared" si="0"/>
        <v>2620</v>
      </c>
    </row>
    <row r="32" spans="1:16" x14ac:dyDescent="0.25">
      <c r="A32" t="s">
        <v>227</v>
      </c>
      <c r="B32" t="s">
        <v>90</v>
      </c>
      <c r="C32" t="s">
        <v>91</v>
      </c>
      <c r="D32" s="2">
        <v>3600</v>
      </c>
      <c r="E32" s="2">
        <v>4980</v>
      </c>
      <c r="F32" s="2">
        <v>4290</v>
      </c>
      <c r="P32" s="2">
        <f t="shared" si="0"/>
        <v>12870</v>
      </c>
    </row>
    <row r="33" spans="1:16" x14ac:dyDescent="0.25">
      <c r="A33" t="s">
        <v>228</v>
      </c>
      <c r="B33" t="s">
        <v>19</v>
      </c>
      <c r="C33" t="s">
        <v>20</v>
      </c>
      <c r="D33" s="2">
        <v>5200</v>
      </c>
      <c r="E33" s="2">
        <v>7100</v>
      </c>
      <c r="F33" s="2">
        <v>6150</v>
      </c>
      <c r="P33" s="2">
        <f t="shared" si="0"/>
        <v>18450</v>
      </c>
    </row>
    <row r="34" spans="1:16" x14ac:dyDescent="0.25">
      <c r="A34" t="s">
        <v>229</v>
      </c>
      <c r="B34" t="s">
        <v>72</v>
      </c>
      <c r="C34" t="s">
        <v>73</v>
      </c>
      <c r="D34" s="2">
        <v>6800</v>
      </c>
      <c r="E34" s="2">
        <v>2100</v>
      </c>
      <c r="F34" s="2">
        <v>4450</v>
      </c>
      <c r="P34" s="2">
        <f t="shared" si="0"/>
        <v>13350</v>
      </c>
    </row>
    <row r="35" spans="1:16" x14ac:dyDescent="0.25">
      <c r="A35" t="s">
        <v>230</v>
      </c>
      <c r="B35" t="s">
        <v>102</v>
      </c>
      <c r="C35" t="s">
        <v>103</v>
      </c>
      <c r="D35" s="2">
        <v>1950</v>
      </c>
      <c r="E35" s="2">
        <v>3150</v>
      </c>
      <c r="F35" s="2">
        <v>2550</v>
      </c>
      <c r="P35" s="2">
        <f t="shared" si="0"/>
        <v>7650</v>
      </c>
    </row>
    <row r="36" spans="1:16" x14ac:dyDescent="0.25">
      <c r="A36" t="s">
        <v>231</v>
      </c>
      <c r="B36" t="s">
        <v>24</v>
      </c>
      <c r="C36" t="s">
        <v>25</v>
      </c>
      <c r="D36" s="2">
        <v>3300</v>
      </c>
      <c r="E36" s="2">
        <v>4350</v>
      </c>
      <c r="F36" s="2">
        <v>3825</v>
      </c>
      <c r="P36" s="2">
        <f t="shared" si="0"/>
        <v>11475</v>
      </c>
    </row>
    <row r="37" spans="1:16" x14ac:dyDescent="0.25">
      <c r="A37" t="s">
        <v>232</v>
      </c>
      <c r="B37" t="s">
        <v>80</v>
      </c>
      <c r="C37" t="s">
        <v>81</v>
      </c>
      <c r="D37" s="2">
        <v>4100</v>
      </c>
      <c r="E37" s="2">
        <v>6950</v>
      </c>
      <c r="F37" s="2">
        <v>5525</v>
      </c>
      <c r="P37" s="2">
        <f t="shared" si="0"/>
        <v>16575</v>
      </c>
    </row>
    <row r="38" spans="1:16" x14ac:dyDescent="0.25">
      <c r="A38" t="s">
        <v>233</v>
      </c>
      <c r="B38" t="s">
        <v>32</v>
      </c>
      <c r="C38" t="s">
        <v>33</v>
      </c>
      <c r="D38" s="2">
        <v>7200</v>
      </c>
      <c r="E38" s="2">
        <v>2650</v>
      </c>
      <c r="F38" s="2">
        <v>4925</v>
      </c>
      <c r="P38" s="2">
        <f t="shared" si="0"/>
        <v>14775</v>
      </c>
    </row>
    <row r="39" spans="1:16" x14ac:dyDescent="0.25">
      <c r="A39" t="s">
        <v>234</v>
      </c>
      <c r="B39" t="s">
        <v>98</v>
      </c>
      <c r="C39" t="s">
        <v>99</v>
      </c>
      <c r="D39" s="2">
        <v>2800</v>
      </c>
      <c r="E39" s="2">
        <v>5750</v>
      </c>
      <c r="F39" s="2">
        <v>4275</v>
      </c>
      <c r="P39" s="2">
        <f t="shared" si="0"/>
        <v>12825</v>
      </c>
    </row>
    <row r="40" spans="1:16" x14ac:dyDescent="0.25">
      <c r="A40" t="s">
        <v>235</v>
      </c>
      <c r="B40" t="s">
        <v>52</v>
      </c>
      <c r="C40" t="s">
        <v>53</v>
      </c>
      <c r="D40" s="2">
        <v>5500</v>
      </c>
      <c r="E40" s="2">
        <v>4800</v>
      </c>
      <c r="F40" s="2">
        <v>5150</v>
      </c>
      <c r="P40" s="2">
        <f t="shared" si="0"/>
        <v>15450</v>
      </c>
    </row>
    <row r="41" spans="1:16" x14ac:dyDescent="0.25">
      <c r="A41" t="s">
        <v>236</v>
      </c>
      <c r="B41" t="s">
        <v>84</v>
      </c>
      <c r="C41" t="s">
        <v>85</v>
      </c>
      <c r="D41" s="2">
        <v>4600</v>
      </c>
      <c r="E41" s="2">
        <v>1350</v>
      </c>
      <c r="F41" s="2">
        <v>2975</v>
      </c>
      <c r="P41" s="2">
        <f t="shared" si="0"/>
        <v>8925</v>
      </c>
    </row>
    <row r="42" spans="1:16" x14ac:dyDescent="0.25">
      <c r="A42" t="s">
        <v>237</v>
      </c>
      <c r="B42" t="s">
        <v>61</v>
      </c>
      <c r="C42" t="s">
        <v>62</v>
      </c>
      <c r="D42" s="2">
        <v>1200</v>
      </c>
      <c r="E42" s="2">
        <v>4100</v>
      </c>
      <c r="F42" s="2">
        <v>2650</v>
      </c>
      <c r="P42" s="2">
        <f t="shared" si="0"/>
        <v>7950</v>
      </c>
    </row>
    <row r="43" spans="1:16" x14ac:dyDescent="0.25">
      <c r="A43" t="s">
        <v>238</v>
      </c>
      <c r="B43" t="s">
        <v>28</v>
      </c>
      <c r="C43" t="s">
        <v>29</v>
      </c>
      <c r="D43" s="2">
        <v>3900</v>
      </c>
      <c r="E43" s="2">
        <v>2300</v>
      </c>
      <c r="F43" s="2">
        <v>3100</v>
      </c>
      <c r="P43" s="2">
        <f t="shared" si="0"/>
        <v>9300</v>
      </c>
    </row>
    <row r="44" spans="1:16" x14ac:dyDescent="0.25">
      <c r="A44" t="s">
        <v>239</v>
      </c>
      <c r="B44" t="s">
        <v>113</v>
      </c>
      <c r="C44" t="s">
        <v>114</v>
      </c>
      <c r="D44" s="2">
        <v>2450</v>
      </c>
      <c r="E44" s="2">
        <v>5850</v>
      </c>
      <c r="F44" s="2">
        <v>4150</v>
      </c>
      <c r="P44" s="2">
        <f t="shared" si="0"/>
        <v>12450</v>
      </c>
    </row>
    <row r="45" spans="1:16" x14ac:dyDescent="0.25">
      <c r="A45" t="s">
        <v>240</v>
      </c>
      <c r="B45" t="s">
        <v>64</v>
      </c>
      <c r="C45" t="s">
        <v>65</v>
      </c>
      <c r="D45" s="2">
        <v>6100</v>
      </c>
      <c r="E45" s="2">
        <v>3200</v>
      </c>
      <c r="F45" s="2">
        <v>4650</v>
      </c>
      <c r="P45" s="2">
        <f t="shared" si="0"/>
        <v>13950</v>
      </c>
    </row>
    <row r="46" spans="1:16" x14ac:dyDescent="0.25">
      <c r="A46" t="s">
        <v>241</v>
      </c>
      <c r="B46" t="s">
        <v>88</v>
      </c>
      <c r="C46" t="s">
        <v>89</v>
      </c>
      <c r="D46" s="2">
        <v>3050</v>
      </c>
      <c r="E46" s="2">
        <v>1650</v>
      </c>
      <c r="F46" s="2">
        <v>2350</v>
      </c>
      <c r="P46" s="2">
        <f t="shared" si="0"/>
        <v>7050</v>
      </c>
    </row>
  </sheetData>
  <phoneticPr fontId="2" type="noConversion"/>
  <pageMargins left="0.75" right="0.75" top="1" bottom="1" header="0.5" footer="0.5"/>
</worksheet>
</file>

<file path=docMetadata/LabelInfo.xml><?xml version="1.0" encoding="utf-8"?>
<clbl:labelList xmlns:clbl="http://schemas.microsoft.com/office/2020/mipLabelMetadata">
  <clbl:label id="{ece46077-c084-46ce-a700-e522340c27a8}" enabled="1" method="Standard" siteId="{c921337c-1160-432a-b079-805f591128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Roster</vt:lpstr>
      <vt:lpstr>Project List</vt:lpstr>
      <vt:lpstr>Employee Time Allocation</vt:lpstr>
      <vt:lpstr>AWS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Bobcat</cp:lastModifiedBy>
  <dcterms:created xsi:type="dcterms:W3CDTF">2026-06-10T18:23:20Z</dcterms:created>
  <dcterms:modified xsi:type="dcterms:W3CDTF">2026-06-15T20:02:28Z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